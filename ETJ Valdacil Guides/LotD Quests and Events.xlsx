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891f6438986a0e/Gaming/SkyrimSE/"/>
    </mc:Choice>
  </mc:AlternateContent>
  <xr:revisionPtr revIDLastSave="0" documentId="8_{73D97D3E-8F5A-4643-A565-C32B269564B0}" xr6:coauthVersionLast="47" xr6:coauthVersionMax="47" xr10:uidLastSave="{00000000-0000-0000-0000-000000000000}"/>
  <bookViews>
    <workbookView xWindow="-28920" yWindow="5220" windowWidth="29040" windowHeight="15720" xr2:uid="{00CB028C-42EB-4E57-908A-3CF6ABE5CBBE}"/>
  </bookViews>
  <sheets>
    <sheet name="LotD Events" sheetId="1" r:id="rId1"/>
  </sheets>
  <definedNames>
    <definedName name="DisplayMarker">'LotD Events'!$B$1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8" i="1" l="1" a="1"/>
  <c r="B248" i="1" s="1"/>
  <c r="B247" i="1" a="1"/>
  <c r="B247" i="1" s="1"/>
  <c r="B246" i="1" a="1"/>
  <c r="B246" i="1" s="1"/>
  <c r="B245" i="1" a="1"/>
  <c r="B245" i="1" s="1"/>
  <c r="B244" i="1" a="1"/>
  <c r="B244" i="1" s="1"/>
  <c r="B243" i="1" a="1"/>
  <c r="B243" i="1" s="1"/>
  <c r="B242" i="1" a="1"/>
  <c r="B242" i="1" s="1"/>
  <c r="B241" i="1" a="1"/>
  <c r="B241" i="1" s="1"/>
  <c r="B240" i="1" a="1"/>
  <c r="B240" i="1" s="1"/>
  <c r="B239" i="1" a="1"/>
  <c r="B239" i="1" s="1"/>
  <c r="B238" i="1" a="1"/>
  <c r="B238" i="1" s="1"/>
  <c r="B237" i="1" a="1"/>
  <c r="B237" i="1" s="1"/>
  <c r="B236" i="1" a="1"/>
  <c r="B236" i="1" s="1"/>
  <c r="B235" i="1" a="1"/>
  <c r="B235" i="1" s="1"/>
  <c r="B234" i="1" a="1"/>
  <c r="B234" i="1" s="1"/>
  <c r="B233" i="1" a="1"/>
  <c r="B233" i="1" s="1"/>
  <c r="B232" i="1" a="1"/>
  <c r="B232" i="1" s="1"/>
  <c r="B231" i="1" a="1"/>
  <c r="B231" i="1" s="1"/>
  <c r="B230" i="1" a="1"/>
  <c r="B230" i="1" s="1"/>
  <c r="B229" i="1" a="1"/>
  <c r="B229" i="1" s="1"/>
  <c r="B228" i="1" a="1"/>
  <c r="B228" i="1" s="1"/>
  <c r="B227" i="1" a="1"/>
  <c r="B227" i="1" s="1"/>
  <c r="B226" i="1" a="1"/>
  <c r="B226" i="1" s="1"/>
  <c r="B225" i="1" a="1"/>
  <c r="B225" i="1" s="1"/>
  <c r="B224" i="1" a="1"/>
  <c r="B224" i="1" s="1"/>
  <c r="B223" i="1" a="1"/>
  <c r="B223" i="1" s="1"/>
  <c r="B222" i="1" a="1"/>
  <c r="B222" i="1" s="1"/>
  <c r="B221" i="1" a="1"/>
  <c r="B221" i="1" s="1"/>
  <c r="B220" i="1" a="1"/>
  <c r="B220" i="1" s="1"/>
  <c r="B219" i="1" a="1"/>
  <c r="B219" i="1" s="1"/>
  <c r="B218" i="1" a="1"/>
  <c r="B218" i="1" s="1"/>
  <c r="B217" i="1" a="1"/>
  <c r="B217" i="1" s="1"/>
  <c r="B216" i="1" a="1"/>
  <c r="B216" i="1" s="1"/>
  <c r="B215" i="1" a="1"/>
  <c r="B215" i="1" s="1"/>
  <c r="B214" i="1" a="1"/>
  <c r="B214" i="1" s="1"/>
  <c r="B213" i="1" a="1"/>
  <c r="B213" i="1" s="1"/>
  <c r="B212" i="1" a="1"/>
  <c r="B212" i="1" s="1"/>
  <c r="B211" i="1" a="1"/>
  <c r="B211" i="1" s="1"/>
  <c r="B210" i="1" a="1"/>
  <c r="B210" i="1" s="1"/>
  <c r="B209" i="1" a="1"/>
  <c r="B209" i="1" s="1"/>
  <c r="B208" i="1" a="1"/>
  <c r="B208" i="1" s="1"/>
  <c r="B207" i="1" a="1"/>
  <c r="B207" i="1" s="1"/>
  <c r="B206" i="1" a="1"/>
  <c r="B206" i="1" s="1"/>
  <c r="B205" i="1" a="1"/>
  <c r="B205" i="1" s="1"/>
  <c r="B204" i="1" a="1"/>
  <c r="B204" i="1" s="1"/>
  <c r="B203" i="1" a="1"/>
  <c r="B203" i="1" s="1"/>
  <c r="B202" i="1" a="1"/>
  <c r="B202" i="1" s="1"/>
  <c r="B201" i="1" a="1"/>
  <c r="B201" i="1" s="1"/>
  <c r="B200" i="1" a="1"/>
  <c r="B200" i="1" s="1"/>
  <c r="B199" i="1" a="1"/>
  <c r="B199" i="1" s="1"/>
  <c r="B198" i="1" a="1"/>
  <c r="B198" i="1" s="1"/>
  <c r="B197" i="1" a="1"/>
  <c r="B197" i="1" s="1"/>
  <c r="B196" i="1" a="1"/>
  <c r="B196" i="1" s="1"/>
  <c r="B195" i="1" a="1"/>
  <c r="B195" i="1" s="1"/>
  <c r="B194" i="1" a="1"/>
  <c r="B194" i="1" s="1"/>
  <c r="B193" i="1" a="1"/>
  <c r="B193" i="1" s="1"/>
  <c r="B192" i="1" a="1"/>
  <c r="B192" i="1" s="1"/>
  <c r="B191" i="1" a="1"/>
  <c r="B191" i="1" s="1"/>
  <c r="B190" i="1" a="1"/>
  <c r="B190" i="1" s="1"/>
  <c r="B189" i="1" a="1"/>
  <c r="B189" i="1" s="1"/>
  <c r="B188" i="1" a="1"/>
  <c r="B188" i="1" s="1"/>
  <c r="B187" i="1" a="1"/>
  <c r="B187" i="1" s="1"/>
  <c r="B186" i="1" a="1"/>
  <c r="B186" i="1" s="1"/>
  <c r="B185" i="1" a="1"/>
  <c r="B185" i="1" s="1"/>
  <c r="B184" i="1" a="1"/>
  <c r="B184" i="1" s="1"/>
  <c r="B183" i="1" a="1"/>
  <c r="B183" i="1" s="1"/>
  <c r="B182" i="1" a="1"/>
  <c r="B182" i="1" s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 s="1"/>
  <c r="B175" i="1" a="1"/>
  <c r="B175" i="1" s="1"/>
  <c r="B174" i="1" a="1"/>
  <c r="B174" i="1" s="1"/>
  <c r="B173" i="1" a="1"/>
  <c r="B173" i="1" s="1"/>
  <c r="B172" i="1" a="1"/>
  <c r="B172" i="1" s="1"/>
  <c r="B171" i="1" a="1"/>
  <c r="B171" i="1" s="1"/>
  <c r="B170" i="1" a="1"/>
  <c r="B170" i="1" s="1"/>
  <c r="B169" i="1" a="1"/>
  <c r="B169" i="1" s="1"/>
  <c r="B168" i="1" a="1"/>
  <c r="B168" i="1" s="1"/>
  <c r="B167" i="1" a="1"/>
  <c r="B167" i="1" s="1"/>
  <c r="B166" i="1" a="1"/>
  <c r="B166" i="1" s="1"/>
  <c r="B165" i="1" a="1"/>
  <c r="B165" i="1" s="1"/>
  <c r="B164" i="1" a="1"/>
  <c r="B164" i="1" s="1"/>
  <c r="B163" i="1" a="1"/>
  <c r="B163" i="1" s="1"/>
  <c r="B162" i="1" a="1"/>
  <c r="B162" i="1" s="1"/>
  <c r="B161" i="1" a="1"/>
  <c r="B161" i="1" s="1"/>
  <c r="B160" i="1" a="1"/>
  <c r="B160" i="1" s="1"/>
  <c r="B159" i="1" a="1"/>
  <c r="B159" i="1" s="1"/>
  <c r="B158" i="1" a="1"/>
  <c r="B158" i="1" s="1"/>
  <c r="B157" i="1" a="1"/>
  <c r="B157" i="1" s="1"/>
  <c r="B156" i="1" a="1"/>
  <c r="B156" i="1" s="1"/>
  <c r="B155" i="1" a="1"/>
  <c r="B155" i="1" s="1"/>
  <c r="B154" i="1" a="1"/>
  <c r="B154" i="1" s="1"/>
  <c r="B153" i="1" a="1"/>
  <c r="B153" i="1" s="1"/>
  <c r="B152" i="1" a="1"/>
  <c r="B152" i="1" s="1"/>
  <c r="B151" i="1" a="1"/>
  <c r="B151" i="1" s="1"/>
  <c r="B150" i="1" a="1"/>
  <c r="B150" i="1" s="1"/>
  <c r="B149" i="1" a="1"/>
  <c r="B149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 s="1"/>
  <c r="B143" i="1" a="1"/>
  <c r="B143" i="1" s="1"/>
  <c r="B142" i="1" a="1"/>
  <c r="B142" i="1" s="1"/>
  <c r="B141" i="1" a="1"/>
  <c r="B141" i="1" s="1"/>
  <c r="B140" i="1" a="1"/>
  <c r="B140" i="1" s="1"/>
  <c r="B139" i="1" a="1"/>
  <c r="B139" i="1" s="1"/>
  <c r="B138" i="1" a="1"/>
  <c r="B138" i="1" s="1"/>
  <c r="B137" i="1" a="1"/>
  <c r="B137" i="1" s="1"/>
  <c r="B136" i="1" a="1"/>
  <c r="B136" i="1" s="1"/>
  <c r="B135" i="1" a="1"/>
  <c r="B135" i="1" s="1"/>
  <c r="B134" i="1" a="1"/>
  <c r="B134" i="1" s="1"/>
  <c r="B133" i="1" a="1"/>
  <c r="B133" i="1" s="1"/>
  <c r="B132" i="1" a="1"/>
  <c r="B132" i="1" s="1"/>
  <c r="B131" i="1" a="1"/>
  <c r="B131" i="1" s="1"/>
  <c r="B130" i="1" a="1"/>
  <c r="B130" i="1" s="1"/>
  <c r="B129" i="1" a="1"/>
  <c r="B129" i="1" s="1"/>
  <c r="B128" i="1" a="1"/>
  <c r="B128" i="1" s="1"/>
  <c r="B127" i="1" a="1"/>
  <c r="B127" i="1" s="1"/>
  <c r="B126" i="1" a="1"/>
  <c r="B126" i="1" s="1"/>
  <c r="B125" i="1" a="1"/>
  <c r="B125" i="1" s="1"/>
  <c r="B124" i="1" a="1"/>
  <c r="B124" i="1" s="1"/>
  <c r="B123" i="1" a="1"/>
  <c r="B123" i="1" s="1"/>
  <c r="B122" i="1" a="1"/>
  <c r="B122" i="1" s="1"/>
  <c r="B121" i="1" a="1"/>
  <c r="B121" i="1" s="1"/>
  <c r="B120" i="1" a="1"/>
  <c r="B120" i="1" s="1"/>
  <c r="B119" i="1" a="1"/>
  <c r="B119" i="1" s="1"/>
  <c r="B118" i="1" a="1"/>
  <c r="B118" i="1" s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 s="1"/>
  <c r="B111" i="1" a="1"/>
  <c r="B111" i="1" s="1"/>
  <c r="B110" i="1" a="1"/>
  <c r="B110" i="1" s="1"/>
  <c r="B109" i="1" a="1"/>
  <c r="B109" i="1" s="1"/>
  <c r="B108" i="1" a="1"/>
  <c r="B108" i="1" s="1"/>
  <c r="B107" i="1" a="1"/>
  <c r="B107" i="1" s="1"/>
  <c r="B106" i="1" a="1"/>
  <c r="B106" i="1" s="1"/>
  <c r="B105" i="1" a="1"/>
  <c r="B105" i="1" s="1"/>
  <c r="B104" i="1" a="1"/>
  <c r="B104" i="1" s="1"/>
  <c r="B103" i="1" a="1"/>
  <c r="B103" i="1" s="1"/>
  <c r="B102" i="1" a="1"/>
  <c r="B102" i="1" s="1"/>
  <c r="B101" i="1" a="1"/>
  <c r="B101" i="1" s="1"/>
  <c r="B100" i="1" a="1"/>
  <c r="B100" i="1" s="1"/>
  <c r="B99" i="1" a="1"/>
  <c r="B99" i="1" s="1"/>
  <c r="B98" i="1" a="1"/>
  <c r="B98" i="1" s="1"/>
  <c r="B97" i="1" a="1"/>
  <c r="B97" i="1" s="1"/>
  <c r="B96" i="1" a="1"/>
  <c r="B96" i="1" s="1"/>
  <c r="B95" i="1" a="1"/>
  <c r="B95" i="1" s="1"/>
  <c r="B94" i="1" a="1"/>
  <c r="B94" i="1" s="1"/>
  <c r="B93" i="1" a="1"/>
  <c r="B93" i="1" s="1"/>
  <c r="B92" i="1" a="1"/>
  <c r="B92" i="1" s="1"/>
  <c r="B91" i="1" a="1"/>
  <c r="B91" i="1" s="1"/>
  <c r="B90" i="1" a="1"/>
  <c r="B90" i="1" s="1"/>
  <c r="B89" i="1" a="1"/>
  <c r="B89" i="1" s="1"/>
  <c r="B88" i="1" a="1"/>
  <c r="B88" i="1" s="1"/>
  <c r="B87" i="1" a="1"/>
  <c r="B87" i="1" s="1"/>
  <c r="B86" i="1" a="1"/>
  <c r="B86" i="1" s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 s="1"/>
  <c r="B79" i="1" a="1"/>
  <c r="B79" i="1" s="1"/>
  <c r="B78" i="1" a="1"/>
  <c r="B78" i="1" s="1"/>
  <c r="B77" i="1" a="1"/>
  <c r="B77" i="1" s="1"/>
  <c r="B76" i="1" a="1"/>
  <c r="B76" i="1" s="1"/>
  <c r="B75" i="1" a="1"/>
  <c r="B75" i="1" s="1"/>
  <c r="B74" i="1" a="1"/>
  <c r="B74" i="1" s="1"/>
  <c r="B73" i="1" a="1"/>
  <c r="B73" i="1" s="1"/>
  <c r="B72" i="1" a="1"/>
  <c r="B72" i="1" s="1"/>
  <c r="B71" i="1" a="1"/>
  <c r="B71" i="1" s="1"/>
  <c r="B70" i="1" a="1"/>
  <c r="B70" i="1" s="1"/>
  <c r="B69" i="1" a="1"/>
  <c r="B69" i="1" s="1"/>
  <c r="B68" i="1" a="1"/>
  <c r="B68" i="1" s="1"/>
  <c r="B67" i="1" a="1"/>
  <c r="B67" i="1" s="1"/>
  <c r="B66" i="1" a="1"/>
  <c r="B66" i="1" s="1"/>
  <c r="B65" i="1" a="1"/>
  <c r="B65" i="1" s="1"/>
  <c r="B64" i="1" a="1"/>
  <c r="B64" i="1" s="1"/>
  <c r="B63" i="1" a="1"/>
  <c r="B63" i="1" s="1"/>
  <c r="B62" i="1" a="1"/>
  <c r="B62" i="1" s="1"/>
  <c r="B61" i="1" a="1"/>
  <c r="B61" i="1" s="1"/>
  <c r="B60" i="1" a="1"/>
  <c r="B60" i="1" s="1"/>
  <c r="B59" i="1" a="1"/>
  <c r="B59" i="1" s="1"/>
  <c r="B58" i="1" a="1"/>
  <c r="B58" i="1" s="1"/>
  <c r="B57" i="1" a="1"/>
  <c r="B57" i="1" s="1"/>
  <c r="B56" i="1" a="1"/>
  <c r="B56" i="1" s="1"/>
  <c r="B55" i="1" a="1"/>
  <c r="B55" i="1" s="1"/>
  <c r="B54" i="1" a="1"/>
  <c r="B54" i="1" s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<sst xmlns="http://schemas.openxmlformats.org/spreadsheetml/2006/main" count="247" uniqueCount="207">
  <si>
    <t>Display Marker</t>
  </si>
  <si>
    <t>Displays (Default)</t>
  </si>
  <si>
    <t>Done</t>
  </si>
  <si>
    <t>Items</t>
  </si>
  <si>
    <t>Quest: An Interesting Prospect</t>
  </si>
  <si>
    <t>Start (any):</t>
  </si>
  <si>
    <t>Talk:  Auryen morellus at Dragonborn Museum</t>
  </si>
  <si>
    <t>Read:  Seeking Treasure Hutners at most taverns</t>
  </si>
  <si>
    <t>Sell:  Relic to vendor then Read: Letter from Auryen Morellus received from Courier</t>
  </si>
  <si>
    <t>Quest:  Find the Sixthe House Bellhammer in Broken Helm Hollow</t>
  </si>
  <si>
    <t>Start:  An Interesting Prospect</t>
  </si>
  <si>
    <t>Quest:  Find Dengstagmer's Ring at Silent Moons Camp</t>
  </si>
  <si>
    <t>Quest:  Find the Jade Warrior 2 somewhere in The Reach</t>
  </si>
  <si>
    <t>Quest:  Dragonborn Gallery</t>
  </si>
  <si>
    <t>Start:  East Empire Docks Start -OR- Relic Hunter Start</t>
  </si>
  <si>
    <t>Quest:  Akaviri Rising</t>
  </si>
  <si>
    <t>Start:  Relic Hunter Start</t>
  </si>
  <si>
    <t>Quest:  Auryen Morellus and the Chamber of Secrets</t>
  </si>
  <si>
    <t>Prereq:  (Quest) An Interesting Prospect, Dragonborn Gallery, -OR- Akaviri Rising</t>
  </si>
  <si>
    <t>Start:  Go to Dragonborn Hall, Press button at bottom of steps, Enter the Hall of Secrets</t>
  </si>
  <si>
    <t>Quest:  Auryen's Notes: Dagger of Symmachus</t>
  </si>
  <si>
    <t>Prereq:  10 days after first time talking to Auryen Morellus</t>
  </si>
  <si>
    <t>Start:  Read Auryen's Notes on Symmachus in the Curator's Office</t>
  </si>
  <si>
    <t>Note:  Guarded by a dragon</t>
  </si>
  <si>
    <t>Quest:  Auryen's Notes: Cyrus' Saber</t>
  </si>
  <si>
    <t>Start:  Read Auryen's Notes on Cyrus' Saber in the Curator's Office</t>
  </si>
  <si>
    <t>Quest:  The Book of Wonders</t>
  </si>
  <si>
    <t>Start:  Read Malrus' Journal in Silent Moons Camp</t>
  </si>
  <si>
    <t>Quest:  The Hand of Glory</t>
  </si>
  <si>
    <t>Prereq:  Skyrim Dark Brotherhood Quest: With Friends Like These…</t>
  </si>
  <si>
    <t>Note:  If you Destroy the Dark Brotherhood, don't kill Greigor until you complete this quest</t>
  </si>
  <si>
    <t>Start:  Talk to Greigor</t>
  </si>
  <si>
    <t>Quest:  Breaking the Curse</t>
  </si>
  <si>
    <t>Prereq:  (Quest) The Hand of Glory</t>
  </si>
  <si>
    <t>Start:  Read Greigor's Journal</t>
  </si>
  <si>
    <t>Note:  Either give The Hand of Glory to Eriana or slay Ahtar to remove curse</t>
  </si>
  <si>
    <t>Quest:  Ancient Power</t>
  </si>
  <si>
    <t>Start:  Read Torturer's Notes in Fort Dawnguard</t>
  </si>
  <si>
    <t>Note:  Recover Ancient Vampire artifacts then destroy them at Stendarr's Beacon; Can then create replicas for display</t>
  </si>
  <si>
    <t>Quest:  Echoes of Madness</t>
  </si>
  <si>
    <t>Prereqs:</t>
  </si>
  <si>
    <t>Skyrim Daedric Quest:  The Mind of Madness</t>
  </si>
  <si>
    <t>Display:  The Madness of Pelagius Amulet</t>
  </si>
  <si>
    <t>Not Active:  Night at the Museum</t>
  </si>
  <si>
    <t>Not Active:  Shadows of One's Past</t>
  </si>
  <si>
    <t>Not Active:  The Price of Vigilants</t>
  </si>
  <si>
    <t>Start:  Talk to Auryen about Millie being 'off'</t>
  </si>
  <si>
    <t>Quest:  Guardians of the Divine</t>
  </si>
  <si>
    <t>Start:  Read Lost Wonders of the Ages, Vol. 3</t>
  </si>
  <si>
    <t>Quest:  Lord's Mail</t>
  </si>
  <si>
    <t>Start:  Read Writ of Execution at Penitus Oculatus Outpost, Dragon Bridge</t>
  </si>
  <si>
    <t>Quest:  Much Ado About Snow Elves</t>
  </si>
  <si>
    <t>Prereq:  Skyrim Side Quest: The Lost Expedition [Calcemo in Markarth]</t>
  </si>
  <si>
    <t>Start:  Courier 2-3 days after The Lost Expedition</t>
  </si>
  <si>
    <t>Quest:  Ongar's Kegbreaker</t>
  </si>
  <si>
    <t>Start:  Talk to Ongar at Nightgate Inn (W of Windhelm)</t>
  </si>
  <si>
    <t>Quest:  Sanamia's Journals - Valthume</t>
  </si>
  <si>
    <t>Start:  Read Sanamia's Journal (2) in Broken Tusk Mine, Solstheim</t>
  </si>
  <si>
    <t>Quest:  Sanamia's Journals - Fort Frostmoth</t>
  </si>
  <si>
    <t>Start:  Read Sanamia's Journal (3) in Dead Drop Falls, under Fort Dawnguard</t>
  </si>
  <si>
    <t>Quest:  Sanamia's Journals - Lake Ilinalta</t>
  </si>
  <si>
    <t>Start:  Read Sanamia's Journal (4) in Arcwind Point Barrow, SE of Arcwind Point</t>
  </si>
  <si>
    <t>Quest:  Sanamia's Journals - Burial Ruin</t>
  </si>
  <si>
    <t>Start:  Read Sanamia's Journal (5) in Thirsk Mead Hall, Solstheim</t>
  </si>
  <si>
    <t>Quest:  Sanamia's Journals - Phantasmal Chest</t>
  </si>
  <si>
    <t>Start:  Read Sanamia's Journal (6) at Riekling Island, Solstheim (N of Skaal Village)</t>
  </si>
  <si>
    <t>Start:  Talk to Auryen Morellus</t>
  </si>
  <si>
    <t>Quest:  Finder's Keepers [Radiant every 24 hrs]</t>
  </si>
  <si>
    <t>Note:  Simultaneous received from Research Station in Library by spending Research Points (can have both version active)</t>
  </si>
  <si>
    <t>Quest:  Relic Hunt [Radiant every 24 hrs)</t>
  </si>
  <si>
    <t>Start:  Use Schneider's Sextant -OR- Locate Relic Power</t>
  </si>
  <si>
    <t>Note:  Sextant acquired during Relic Hunter start or as part of Tools of the Trade</t>
  </si>
  <si>
    <t>Artifact:  Skullcrusher</t>
  </si>
  <si>
    <t>Courier:  Safehouse Key</t>
  </si>
  <si>
    <t>Feature:  Collection Box</t>
  </si>
  <si>
    <t>Feature:  Patron Visitor (Jerrin)</t>
  </si>
  <si>
    <t>Quest:  Auryen's Notes:  Orgnum's Coffer</t>
  </si>
  <si>
    <t>Start:  Read Auryen's Notes on Orgnum and the Maormer in the Curator's Office</t>
  </si>
  <si>
    <t>Quest:  Back to the Drawing Board</t>
  </si>
  <si>
    <t>Prereq:  Safehouse</t>
  </si>
  <si>
    <t>Start:  Find Imbuing Chamber Design Schematics in White Ridge Barrow Sanctum</t>
  </si>
  <si>
    <t>Quest:  It Belongs in a Museum</t>
  </si>
  <si>
    <t>Quest:  An Interesting Prospect -OR- Dragonborn Gallery</t>
  </si>
  <si>
    <t>Level:  18+</t>
  </si>
  <si>
    <t>Quest:  A Room With a View</t>
  </si>
  <si>
    <t>Start:  Talk to Auryen</t>
  </si>
  <si>
    <t>Note:  Moonpath to Elsweyr questline</t>
  </si>
  <si>
    <t>Feature:  Dev Aveza (airship)</t>
  </si>
  <si>
    <t>Questline:  Moonpath to Elsweyr</t>
  </si>
  <si>
    <t>Quest:  Sanamia's Journals - Mzulft</t>
  </si>
  <si>
    <t>Start:  Read Sanamia's Journal (1) in the Smullgers Hold of Dev Aveza</t>
  </si>
  <si>
    <t>Artifact:  Thornblade</t>
  </si>
  <si>
    <t>Feature:  Sell Cart</t>
  </si>
  <si>
    <t>Acquire:  Talk to Auryen about too many items</t>
  </si>
  <si>
    <t>Feature:  Patron Visitor (Malaki)</t>
  </si>
  <si>
    <t>Quest:  Auryen's Notes:  Ice Blade of the Monarch</t>
  </si>
  <si>
    <t>Start:  Read Auryen's Notes on the Ice Blade of the Monarch in the Curator's Office</t>
  </si>
  <si>
    <t>Artifact:  Cleaver of St. Felms</t>
  </si>
  <si>
    <t>Feature:  Patron Visitors (Lorna and Henry)</t>
  </si>
  <si>
    <t>Quest:  A Room With a View (Explorer's Society)</t>
  </si>
  <si>
    <t>Start:  Talk to Auryen about "Anything new happening?"</t>
  </si>
  <si>
    <t>Quest:  Digging Up Explorers</t>
  </si>
  <si>
    <t>Prereq:  (Quest) A Room with a View</t>
  </si>
  <si>
    <t>Start:  Read Auryen's Letter in Explorer's Society Guildhouse</t>
  </si>
  <si>
    <t>Quest:  Tools of the Trade</t>
  </si>
  <si>
    <t>Prereq:  (Quest) Digging Up Explorers</t>
  </si>
  <si>
    <t>Start:  Kamahl's Map in Explorer's Society Guildhouse</t>
  </si>
  <si>
    <t>Note:  Displays in Explorer's Society but do not Auto-Sort</t>
  </si>
  <si>
    <t>Quest:  Branching Out</t>
  </si>
  <si>
    <t>Mage College Archmage</t>
  </si>
  <si>
    <t>Start:  Talk to Marassi</t>
  </si>
  <si>
    <t>Quest:  Branching Out… Again</t>
  </si>
  <si>
    <t>Skyrim Quest:  No One Escapes the Cidhna Mine</t>
  </si>
  <si>
    <t>Quest:  Branching Out… Ever More</t>
  </si>
  <si>
    <t>Skyrim Quest:  Forbidden Legend</t>
  </si>
  <si>
    <t>Start:  Talk to Marassi if before Trail of Trinimac otherwise Talk to Auryen</t>
  </si>
  <si>
    <t>Quest:  One Man's Junk [Radiant every 24 hrs]</t>
  </si>
  <si>
    <t>Start:  Talk to Latoria about ruined/burned books</t>
  </si>
  <si>
    <t>Quest:  Kyre's Ore Prospect</t>
  </si>
  <si>
    <t>Start:  Talk to Kyre about ore samples</t>
  </si>
  <si>
    <t>Quest:  Auryen's Notes: Shalidor's Stone</t>
  </si>
  <si>
    <t>Start:  Read Auryen's Notes on Shalidor's Stone in the Curator's Office</t>
  </si>
  <si>
    <t>Artifact:  Eleidon's Ward</t>
  </si>
  <si>
    <t>Feature:  Avram Shazir arrives (Guard)</t>
  </si>
  <si>
    <t>Quest:  Auryen's Notes: The Bloodworm Helm</t>
  </si>
  <si>
    <t>Start:  Read Auryen's Notes on the Bloodworm Helm in the Curator's Office</t>
  </si>
  <si>
    <t>Artifact:  Gravedigger</t>
  </si>
  <si>
    <t>Quest:  Auryen's Notes:  The Warlock's Ring</t>
  </si>
  <si>
    <t>Start:  Read Auryen's Notes on the Warlock's Ring in the Curator's Office</t>
  </si>
  <si>
    <t>Artifact:  Scourge</t>
  </si>
  <si>
    <t>Quest:  A Night at the Museum</t>
  </si>
  <si>
    <t>Quest:  An Interesting Prospect</t>
  </si>
  <si>
    <t>Quest:  Shadows of One's Past (complete or not active)</t>
  </si>
  <si>
    <t>Start:  Approached by Brother Ikard upon returning to the Museum</t>
  </si>
  <si>
    <t>Quest:  Auryen's Notes:  The Dragonmail Cuirass</t>
  </si>
  <si>
    <t>Start:  Read Auryen's Notes on the Dragonmail Cuirass in the Curator's Office</t>
  </si>
  <si>
    <t>Note:  Location inaccessible until Dragonborn side quest Old Friends is started</t>
  </si>
  <si>
    <t>Quest:  Match Maker [Unmarked]</t>
  </si>
  <si>
    <t>Patron:  Lorna</t>
  </si>
  <si>
    <t>Patron:  Cedric</t>
  </si>
  <si>
    <t>Displays:  Paintings 25+</t>
  </si>
  <si>
    <t>Start:  Talk to Lorna</t>
  </si>
  <si>
    <t>Artifact:  Stendarr's Hammer</t>
  </si>
  <si>
    <t>Quest:  Auryen's Notes: The Fists of Randagulf</t>
  </si>
  <si>
    <t>Start:  Read Auryen's Notes on the Fists of Randagulf in the Curator's Office</t>
  </si>
  <si>
    <t>Note:  Must steal, bribe or persuade to obtain the item</t>
  </si>
  <si>
    <t>Artifact:  Trueflame</t>
  </si>
  <si>
    <t>Quest:  Shadow of one's Past</t>
  </si>
  <si>
    <t>Leave Museum for 24 hrs</t>
  </si>
  <si>
    <t>Start:  Return to Museum after meeting requirements</t>
  </si>
  <si>
    <t>Note:  If A Night at the Museum is active, it must be completed before this triggers</t>
  </si>
  <si>
    <t>Quest:  The Vaults of Deepholme</t>
  </si>
  <si>
    <t>Quest:  Shadow of One's Past</t>
  </si>
  <si>
    <t>Quest:  Auryen's Notes: The Tools of Kagrenac</t>
  </si>
  <si>
    <t>Start:  Read Auryen's Notes on the Tools of Kagrenac in the Curator's Office</t>
  </si>
  <si>
    <t>Artifact:  Staff of Hasedoki</t>
  </si>
  <si>
    <t>Quest:  The Excavation of Windcaller Pass</t>
  </si>
  <si>
    <t>Skyrim Main Quest:  Dragon Rising</t>
  </si>
  <si>
    <t>Quest:  Eternal Ice</t>
  </si>
  <si>
    <t>Start:  Collect an ice shard as part of The Excavation of Windcaller Pass</t>
  </si>
  <si>
    <t>Artifact:  Hopesfire</t>
  </si>
  <si>
    <t>Quest:  The Price of Vigilants</t>
  </si>
  <si>
    <t>Displays:  Daedric Exhibit Hall 10+</t>
  </si>
  <si>
    <t>Display:  Black Books [Min 1] -OR- Oghma Infinium</t>
  </si>
  <si>
    <t>Feature:  Dev Aveza</t>
  </si>
  <si>
    <t>Quest:  A Path to the Heavens</t>
  </si>
  <si>
    <t>Quest:  Night at the Museum</t>
  </si>
  <si>
    <t>Not Active:  Museum Gala</t>
  </si>
  <si>
    <t>Start:  Vigilants confront Auryen in Hall of Heroes when requirements met</t>
  </si>
  <si>
    <t>Quest:  Faltering Light</t>
  </si>
  <si>
    <t>Prereq:  (Quest) The Price of Vigilants</t>
  </si>
  <si>
    <t>Start:  Courier delivers Letter from the Vigilants of Stendarr -OR- attacked by rogue Vigilants (read note on their corpses)</t>
  </si>
  <si>
    <t>Artifact:  Sword of Ancient Tongues</t>
  </si>
  <si>
    <t>Quest:  Shattered Legacy</t>
  </si>
  <si>
    <t>Skyrim Main Quest:  The Way of the Voice</t>
  </si>
  <si>
    <t>Display:  Sword of Ancient Tongues</t>
  </si>
  <si>
    <t>Start:  Byron will find the player somewhere in the world</t>
  </si>
  <si>
    <t>Quest:  The Ayleid Crossroads</t>
  </si>
  <si>
    <t>Prereq:  (Quest) Shattered Legacy</t>
  </si>
  <si>
    <t>Start:  Auryen will speak to you at the Museum</t>
  </si>
  <si>
    <t>Quest:  Museum Gala [Radiant every few game days]</t>
  </si>
  <si>
    <t>Game Time:  4 PM - 10 PM</t>
  </si>
  <si>
    <t>Not Active:  Match Maker</t>
  </si>
  <si>
    <t>Not Active:  The Excavation of Windcaller Pass</t>
  </si>
  <si>
    <t>Not Active:  The Excavation of the Ruins of Rkund</t>
  </si>
  <si>
    <t>Not Active:  Trial of Trinimac</t>
  </si>
  <si>
    <t>Start:  Enter Museum when conditions met and listen to Auryen's speech</t>
  </si>
  <si>
    <t>Note:  Disabled by default since v6.7.0, re-enable in MCM</t>
  </si>
  <si>
    <t>Quest:  The Excavation of the Ruins of Rkund</t>
  </si>
  <si>
    <t>Start:  Talk to Marassi 10 days after The Excavation of Windcaller Pass</t>
  </si>
  <si>
    <t>Start:  Dwemer Schematics in Karagas' Tower</t>
  </si>
  <si>
    <t>Quest:  The Visage</t>
  </si>
  <si>
    <t>Start:  Follow ghost outside Greenwall Cave near Fort Greenwall (N of Riften)</t>
  </si>
  <si>
    <t>Quest:  The Trials of Trinimac</t>
  </si>
  <si>
    <t>Dawnguard Quest:  Touoching the Sky</t>
  </si>
  <si>
    <t>Artifact:  Staff of the Snow Prince</t>
  </si>
  <si>
    <t>Artifact:  Staff of the Sun Prince</t>
  </si>
  <si>
    <t>Artifact:  Staff of the Sky Prince</t>
  </si>
  <si>
    <t>Artifact:  Spear of the Snow Prince (Quest: Legacy of the Snow Prince starts if not yet acquired)</t>
  </si>
  <si>
    <t>Artifact:  Relic of Phynaster (Quest: Relic of Phynaster starts if not yet acquired)</t>
  </si>
  <si>
    <t>Artifact:  The Warlock Ring (Quest: Auryen's Notes: The Warlock's Ring starts if not yet acquired)</t>
  </si>
  <si>
    <t>Artifact:  Shrine of Y'ffre (Craft with Archaology 75+)</t>
  </si>
  <si>
    <t>Start:  3 Days after completing The Visage</t>
  </si>
  <si>
    <t>Quest:  Legacy of the Snow Prince</t>
  </si>
  <si>
    <t>Start:  Talk to Auryen upon arriving at the entrance of Temple of Trinimac</t>
  </si>
  <si>
    <t>Quest:  Relic of Phynaster</t>
  </si>
  <si>
    <t>Start:  Find Deepholme E of College of Winterhold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</si>
</sst>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/>
      <right style="thick">
        <color auto="1"/>
      </right>
      <top style="double">
        <color indexed="64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  <border>
      <left/>
      <right style="thick">
        <color auto="1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thick">
        <color auto="1"/>
      </right>
      <top/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mediumDashDotDot">
        <color indexed="64"/>
      </top>
      <bottom style="mediumDashDotDot">
        <color indexed="64"/>
      </bottom>
      <diagonal/>
    </border>
    <border>
      <left/>
      <right/>
      <top style="mediumDashDotDot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mediumDashDotDot">
        <color indexed="64"/>
      </bottom>
      <diagonal/>
    </border>
    <border>
      <left/>
      <right style="thick">
        <color auto="1"/>
      </right>
      <top style="mediumDashDotDot">
        <color indexed="64"/>
      </top>
      <bottom style="mediumDashDotDot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6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21" xfId="0" applyFill="1" applyBorder="1" applyAlignment="1">
      <alignment horizontal="center"/>
    </xf>
    <xf numFmtId="0" fontId="0" fillId="2" borderId="14" xfId="0" applyFill="1" applyBorder="1"/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3" xfId="0" applyFill="1" applyBorder="1"/>
    <xf numFmtId="0" fontId="0" fillId="2" borderId="25" xfId="0" applyFill="1" applyBorder="1"/>
    <xf numFmtId="0" fontId="0" fillId="3" borderId="1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9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A826-EA58-4944-B61C-EE3AE5C8C803}">
  <dimension ref="A1:F300"/>
  <sheetViews>
    <sheetView tabSelected="1" workbookViewId="0">
      <pane ySplit="3" topLeftCell="A4" activePane="bottomLeft" state="frozenSplit"/>
      <selection pane="bottomLeft" activeCell="C4" sqref="C4"/>
    </sheetView>
  </sheetViews>
  <sheetFormatPr defaultRowHeight="14.4" x14ac:dyDescent="0.3"/>
  <cols>
    <col min="1" max="2" width="9.77734375" style="2" customWidth="1"/>
    <col min="3" max="4" width="5.77734375" style="2" customWidth="1"/>
    <col min="5" max="5" width="5.77734375" customWidth="1"/>
    <col min="6" max="6" width="106.44140625" customWidth="1"/>
  </cols>
  <sheetData>
    <row r="1" spans="1:6" ht="28.8" x14ac:dyDescent="0.3">
      <c r="A1" s="3" t="s">
        <v>0</v>
      </c>
      <c r="B1" s="4">
        <v>150</v>
      </c>
      <c r="C1" s="5"/>
      <c r="D1" s="11"/>
      <c r="E1" s="12"/>
      <c r="F1" s="13"/>
    </row>
    <row r="2" spans="1:6" x14ac:dyDescent="0.3">
      <c r="A2" s="5"/>
      <c r="B2" s="5"/>
      <c r="C2" s="5"/>
      <c r="D2" s="11"/>
      <c r="E2" s="12"/>
      <c r="F2" s="13"/>
    </row>
    <row r="3" spans="1:6" s="1" customFormat="1" ht="31.8" thickBot="1" x14ac:dyDescent="0.35">
      <c r="A3" s="7" t="s">
        <v>1</v>
      </c>
      <c r="B3" s="7" t="str">
        <f>IF(DisplayMarker="","",_xlfn.CONCAT("Displays (",$B$1,")"))</f>
        <v>Displays (150)</v>
      </c>
      <c r="C3" s="7" t="s">
        <v>2</v>
      </c>
      <c r="D3" s="8" t="s">
        <v>3</v>
      </c>
      <c r="E3" s="8"/>
      <c r="F3" s="14"/>
    </row>
    <row r="4" spans="1:6" ht="15" thickTop="1" x14ac:dyDescent="0.3">
      <c r="A4" s="24">
        <v>0</v>
      </c>
      <c r="B4" s="5" cm="1">
        <f t="array" ref="B4">_xlfn.IFS($A4="","",$A4=0,0,TRUE,($A4/50)*DisplayMarker)</f>
        <v>0</v>
      </c>
      <c r="C4" s="27"/>
      <c r="D4" s="9" t="s">
        <v>4</v>
      </c>
      <c r="E4" s="9"/>
      <c r="F4" s="15"/>
    </row>
    <row r="5" spans="1:6" x14ac:dyDescent="0.3">
      <c r="A5" s="25"/>
      <c r="B5" s="5" t="str" cm="1">
        <f t="array" ref="B5">_xlfn.IFS($A5="","",$A5=0,0,TRUE,($A5/50)*DisplayMarker)</f>
        <v/>
      </c>
      <c r="C5" s="5"/>
      <c r="D5" s="10"/>
      <c r="E5" s="16" t="s">
        <v>5</v>
      </c>
      <c r="F5" s="17"/>
    </row>
    <row r="6" spans="1:6" x14ac:dyDescent="0.3">
      <c r="A6" s="25"/>
      <c r="B6" s="5" t="str" cm="1">
        <f t="array" ref="B6">_xlfn.IFS($A6="","",$A6=0,0,TRUE,($A6/50)*DisplayMarker)</f>
        <v/>
      </c>
      <c r="C6" s="5"/>
      <c r="D6" s="11"/>
      <c r="E6" s="10"/>
      <c r="F6" s="13" t="s">
        <v>6</v>
      </c>
    </row>
    <row r="7" spans="1:6" x14ac:dyDescent="0.3">
      <c r="A7" s="25"/>
      <c r="B7" s="5" t="str" cm="1">
        <f t="array" ref="B7">_xlfn.IFS($A7="","",$A7=0,0,TRUE,($A7/50)*DisplayMarker)</f>
        <v/>
      </c>
      <c r="C7" s="5"/>
      <c r="D7" s="11"/>
      <c r="E7" s="10"/>
      <c r="F7" s="13" t="s">
        <v>7</v>
      </c>
    </row>
    <row r="8" spans="1:6" x14ac:dyDescent="0.3">
      <c r="A8" s="28"/>
      <c r="B8" s="29" t="str" cm="1">
        <f t="array" ref="B8">_xlfn.IFS($A8="","",$A8=0,0,TRUE,($A8/50)*DisplayMarker)</f>
        <v/>
      </c>
      <c r="C8" s="29"/>
      <c r="D8" s="29"/>
      <c r="E8" s="30"/>
      <c r="F8" s="33" t="s">
        <v>8</v>
      </c>
    </row>
    <row r="9" spans="1:6" x14ac:dyDescent="0.3">
      <c r="A9" s="25"/>
      <c r="B9" s="5" t="str" cm="1">
        <f t="array" ref="B9">_xlfn.IFS($A9="","",$A9=0,0,TRUE,($A9/50)*DisplayMarker)</f>
        <v/>
      </c>
      <c r="C9" s="27"/>
      <c r="D9" s="16" t="s">
        <v>9</v>
      </c>
      <c r="E9" s="16"/>
      <c r="F9" s="17"/>
    </row>
    <row r="10" spans="1:6" x14ac:dyDescent="0.3">
      <c r="A10" s="28"/>
      <c r="B10" s="29" t="str" cm="1">
        <f t="array" ref="B10">_xlfn.IFS($A10="","",$A10=0,0,TRUE,($A10/50)*DisplayMarker)</f>
        <v/>
      </c>
      <c r="C10" s="29"/>
      <c r="D10" s="30"/>
      <c r="E10" s="31" t="s">
        <v>10</v>
      </c>
      <c r="F10" s="32"/>
    </row>
    <row r="11" spans="1:6" x14ac:dyDescent="0.3">
      <c r="A11" s="25"/>
      <c r="B11" s="5" t="str" cm="1">
        <f t="array" ref="B11">_xlfn.IFS($A11="","",$A11=0,0,TRUE,($A11/50)*DisplayMarker)</f>
        <v/>
      </c>
      <c r="C11" s="27"/>
      <c r="D11" s="16" t="s">
        <v>11</v>
      </c>
      <c r="E11" s="16"/>
      <c r="F11" s="17"/>
    </row>
    <row r="12" spans="1:6" x14ac:dyDescent="0.3">
      <c r="A12" s="28"/>
      <c r="B12" s="29" t="str" cm="1">
        <f t="array" ref="B12">_xlfn.IFS($A12="","",$A12=0,0,TRUE,($A12/50)*DisplayMarker)</f>
        <v/>
      </c>
      <c r="C12" s="29"/>
      <c r="D12" s="30"/>
      <c r="E12" s="31" t="s">
        <v>10</v>
      </c>
      <c r="F12" s="32"/>
    </row>
    <row r="13" spans="1:6" x14ac:dyDescent="0.3">
      <c r="A13" s="25"/>
      <c r="B13" s="5" t="str" cm="1">
        <f t="array" ref="B13">_xlfn.IFS($A13="","",$A13=0,0,TRUE,($A13/50)*DisplayMarker)</f>
        <v/>
      </c>
      <c r="C13" s="27"/>
      <c r="D13" s="16" t="s">
        <v>12</v>
      </c>
      <c r="E13" s="16"/>
      <c r="F13" s="17"/>
    </row>
    <row r="14" spans="1:6" x14ac:dyDescent="0.3">
      <c r="A14" s="28"/>
      <c r="B14" s="29" t="str" cm="1">
        <f t="array" ref="B14">_xlfn.IFS($A14="","",$A14=0,0,TRUE,($A14/50)*DisplayMarker)</f>
        <v/>
      </c>
      <c r="C14" s="29"/>
      <c r="D14" s="30"/>
      <c r="E14" s="31" t="s">
        <v>10</v>
      </c>
      <c r="F14" s="32"/>
    </row>
    <row r="15" spans="1:6" x14ac:dyDescent="0.3">
      <c r="A15" s="25"/>
      <c r="B15" s="5" t="str" cm="1">
        <f t="array" ref="B15">_xlfn.IFS($A15="","",$A15=0,0,TRUE,($A15/50)*DisplayMarker)</f>
        <v/>
      </c>
      <c r="C15" s="27"/>
      <c r="D15" s="16" t="s">
        <v>13</v>
      </c>
      <c r="E15" s="16"/>
      <c r="F15" s="17"/>
    </row>
    <row r="16" spans="1:6" x14ac:dyDescent="0.3">
      <c r="A16" s="28"/>
      <c r="B16" s="29" t="str" cm="1">
        <f t="array" ref="B16">_xlfn.IFS($A16="","",$A16=0,0,TRUE,($A16/50)*DisplayMarker)</f>
        <v/>
      </c>
      <c r="C16" s="29"/>
      <c r="D16" s="30"/>
      <c r="E16" s="31" t="s">
        <v>14</v>
      </c>
      <c r="F16" s="32"/>
    </row>
    <row r="17" spans="1:6" x14ac:dyDescent="0.3">
      <c r="A17" s="25"/>
      <c r="B17" s="5" t="str" cm="1">
        <f t="array" ref="B17">_xlfn.IFS($A17="","",$A17=0,0,TRUE,($A17/50)*DisplayMarker)</f>
        <v/>
      </c>
      <c r="C17" s="27"/>
      <c r="D17" s="16" t="s">
        <v>15</v>
      </c>
      <c r="E17" s="16"/>
      <c r="F17" s="17"/>
    </row>
    <row r="18" spans="1:6" x14ac:dyDescent="0.3">
      <c r="A18" s="28"/>
      <c r="B18" s="29" t="str" cm="1">
        <f t="array" ref="B18">_xlfn.IFS($A18="","",$A18=0,0,TRUE,($A18/50)*DisplayMarker)</f>
        <v/>
      </c>
      <c r="C18" s="29"/>
      <c r="D18" s="30"/>
      <c r="E18" s="31" t="s">
        <v>16</v>
      </c>
      <c r="F18" s="32"/>
    </row>
    <row r="19" spans="1:6" x14ac:dyDescent="0.3">
      <c r="A19" s="25"/>
      <c r="B19" s="5" t="str" cm="1">
        <f t="array" ref="B19">_xlfn.IFS($A19="","",$A19=0,0,TRUE,($A19/50)*DisplayMarker)</f>
        <v/>
      </c>
      <c r="C19" s="27"/>
      <c r="D19" s="16" t="s">
        <v>17</v>
      </c>
      <c r="E19" s="16"/>
      <c r="F19" s="17"/>
    </row>
    <row r="20" spans="1:6" x14ac:dyDescent="0.3">
      <c r="A20" s="25"/>
      <c r="B20" s="5" t="str" cm="1">
        <f t="array" ref="B20">_xlfn.IFS($A20="","",$A20=0,0,TRUE,($A20/50)*DisplayMarker)</f>
        <v/>
      </c>
      <c r="C20" s="5"/>
      <c r="D20" s="10"/>
      <c r="E20" s="12" t="s">
        <v>18</v>
      </c>
      <c r="F20" s="13"/>
    </row>
    <row r="21" spans="1:6" x14ac:dyDescent="0.3">
      <c r="A21" s="28"/>
      <c r="B21" s="29" t="str" cm="1">
        <f t="array" ref="B21">_xlfn.IFS($A21="","",$A21=0,0,TRUE,($A21/50)*DisplayMarker)</f>
        <v/>
      </c>
      <c r="C21" s="29"/>
      <c r="D21" s="30"/>
      <c r="E21" s="31" t="s">
        <v>19</v>
      </c>
      <c r="F21" s="32"/>
    </row>
    <row r="22" spans="1:6" x14ac:dyDescent="0.3">
      <c r="A22" s="25"/>
      <c r="B22" s="5" t="str" cm="1">
        <f t="array" ref="B22">_xlfn.IFS($A22="","",$A22=0,0,TRUE,($A22/50)*DisplayMarker)</f>
        <v/>
      </c>
      <c r="C22" s="27"/>
      <c r="D22" s="16" t="s">
        <v>20</v>
      </c>
      <c r="E22" s="16"/>
      <c r="F22" s="17"/>
    </row>
    <row r="23" spans="1:6" x14ac:dyDescent="0.3">
      <c r="A23" s="25"/>
      <c r="B23" s="5" t="str" cm="1">
        <f t="array" ref="B23">_xlfn.IFS($A23="","",$A23=0,0,TRUE,($A23/50)*DisplayMarker)</f>
        <v/>
      </c>
      <c r="C23" s="5"/>
      <c r="D23" s="10"/>
      <c r="E23" s="16" t="s">
        <v>21</v>
      </c>
      <c r="F23" s="17"/>
    </row>
    <row r="24" spans="1:6" x14ac:dyDescent="0.3">
      <c r="A24" s="25"/>
      <c r="B24" s="5" t="str" cm="1">
        <f t="array" ref="B24">_xlfn.IFS($A24="","",$A24=0,0,TRUE,($A24/50)*DisplayMarker)</f>
        <v/>
      </c>
      <c r="C24" s="5"/>
      <c r="D24" s="10"/>
      <c r="E24" s="16" t="s">
        <v>22</v>
      </c>
      <c r="F24" s="17"/>
    </row>
    <row r="25" spans="1:6" x14ac:dyDescent="0.3">
      <c r="A25" s="28"/>
      <c r="B25" s="29" t="str" cm="1">
        <f t="array" ref="B25">_xlfn.IFS($A25="","",$A25=0,0,TRUE,($A25/50)*DisplayMarker)</f>
        <v/>
      </c>
      <c r="C25" s="29"/>
      <c r="D25" s="48"/>
      <c r="E25" s="31" t="s">
        <v>23</v>
      </c>
      <c r="F25" s="32"/>
    </row>
    <row r="26" spans="1:6" x14ac:dyDescent="0.3">
      <c r="A26" s="25"/>
      <c r="B26" s="5" t="str" cm="1">
        <f t="array" ref="B26">_xlfn.IFS($A26="","",$A26=0,0,TRUE,($A26/50)*DisplayMarker)</f>
        <v/>
      </c>
      <c r="C26" s="27"/>
      <c r="D26" s="16" t="s">
        <v>24</v>
      </c>
      <c r="E26" s="16"/>
      <c r="F26" s="17"/>
    </row>
    <row r="27" spans="1:6" x14ac:dyDescent="0.3">
      <c r="A27" s="28"/>
      <c r="B27" s="29" t="str" cm="1">
        <f t="array" ref="B27">_xlfn.IFS($A27="","",$A27=0,0,TRUE,($A27/50)*DisplayMarker)</f>
        <v/>
      </c>
      <c r="C27" s="29"/>
      <c r="D27" s="30"/>
      <c r="E27" s="31" t="s">
        <v>25</v>
      </c>
      <c r="F27" s="32"/>
    </row>
    <row r="28" spans="1:6" x14ac:dyDescent="0.3">
      <c r="A28" s="25"/>
      <c r="B28" s="5" t="str" cm="1">
        <f t="array" ref="B28">_xlfn.IFS($A28="","",$A28=0,0,TRUE,($A28/50)*DisplayMarker)</f>
        <v/>
      </c>
      <c r="C28" s="27"/>
      <c r="D28" s="16" t="s">
        <v>26</v>
      </c>
      <c r="E28" s="16"/>
      <c r="F28" s="17"/>
    </row>
    <row r="29" spans="1:6" x14ac:dyDescent="0.3">
      <c r="A29" s="28"/>
      <c r="B29" s="29" t="str" cm="1">
        <f t="array" ref="B29">_xlfn.IFS($A29="","",$A29=0,0,TRUE,($A29/50)*DisplayMarker)</f>
        <v/>
      </c>
      <c r="C29" s="29"/>
      <c r="D29" s="30"/>
      <c r="E29" s="31" t="s">
        <v>27</v>
      </c>
      <c r="F29" s="32"/>
    </row>
    <row r="30" spans="1:6" x14ac:dyDescent="0.3">
      <c r="A30" s="25"/>
      <c r="B30" s="5" t="str" cm="1">
        <f t="array" ref="B30">_xlfn.IFS($A30="","",$A30=0,0,TRUE,($A30/50)*DisplayMarker)</f>
        <v/>
      </c>
      <c r="C30" s="27"/>
      <c r="D30" s="16" t="s">
        <v>28</v>
      </c>
      <c r="E30" s="16"/>
      <c r="F30" s="17"/>
    </row>
    <row r="31" spans="1:6" x14ac:dyDescent="0.3">
      <c r="A31" s="25"/>
      <c r="B31" s="5" t="str" cm="1">
        <f t="array" ref="B31">_xlfn.IFS($A31="","",$A31=0,0,TRUE,($A31/50)*DisplayMarker)</f>
        <v/>
      </c>
      <c r="C31" s="5"/>
      <c r="D31" s="10"/>
      <c r="E31" s="16" t="s">
        <v>29</v>
      </c>
      <c r="F31" s="17"/>
    </row>
    <row r="32" spans="1:6" x14ac:dyDescent="0.3">
      <c r="A32" s="25"/>
      <c r="B32" s="5" t="str" cm="1">
        <f t="array" ref="B32">_xlfn.IFS($A32="","",$A32=0,0,TRUE,($A32/50)*DisplayMarker)</f>
        <v/>
      </c>
      <c r="C32" s="5"/>
      <c r="D32" s="49"/>
      <c r="E32" s="16" t="s">
        <v>30</v>
      </c>
      <c r="F32" s="17"/>
    </row>
    <row r="33" spans="1:6" x14ac:dyDescent="0.3">
      <c r="A33" s="28"/>
      <c r="B33" s="29" t="str" cm="1">
        <f t="array" ref="B33">_xlfn.IFS($A33="","",$A33=0,0,TRUE,($A33/50)*DisplayMarker)</f>
        <v/>
      </c>
      <c r="C33" s="29"/>
      <c r="D33" s="30"/>
      <c r="E33" s="31" t="s">
        <v>31</v>
      </c>
      <c r="F33" s="32"/>
    </row>
    <row r="34" spans="1:6" x14ac:dyDescent="0.3">
      <c r="A34" s="25"/>
      <c r="B34" s="5" t="str" cm="1">
        <f t="array" ref="B34">_xlfn.IFS($A34="","",$A34=0,0,TRUE,($A34/50)*DisplayMarker)</f>
        <v/>
      </c>
      <c r="C34" s="27"/>
      <c r="D34" s="16" t="s">
        <v>32</v>
      </c>
      <c r="E34" s="16"/>
      <c r="F34" s="17"/>
    </row>
    <row r="35" spans="1:6" x14ac:dyDescent="0.3">
      <c r="A35" s="25"/>
      <c r="B35" s="5" t="str" cm="1">
        <f t="array" ref="B35">_xlfn.IFS($A35="","",$A35=0,0,TRUE,($A35/50)*DisplayMarker)</f>
        <v/>
      </c>
      <c r="C35" s="5"/>
      <c r="D35" s="10"/>
      <c r="E35" s="16" t="s">
        <v>33</v>
      </c>
      <c r="F35" s="17"/>
    </row>
    <row r="36" spans="1:6" x14ac:dyDescent="0.3">
      <c r="A36" s="25"/>
      <c r="B36" s="5" t="str" cm="1">
        <f t="array" ref="B36">_xlfn.IFS($A36="","",$A36=0,0,TRUE,($A36/50)*DisplayMarker)</f>
        <v/>
      </c>
      <c r="C36" s="5"/>
      <c r="D36" s="10"/>
      <c r="E36" s="18" t="s">
        <v>34</v>
      </c>
      <c r="F36" s="19"/>
    </row>
    <row r="37" spans="1:6" x14ac:dyDescent="0.3">
      <c r="A37" s="28"/>
      <c r="B37" s="29" t="str" cm="1">
        <f t="array" ref="B37">_xlfn.IFS($A37="","",$A37=0,0,TRUE,($A37/50)*DisplayMarker)</f>
        <v/>
      </c>
      <c r="C37" s="29"/>
      <c r="D37" s="48"/>
      <c r="E37" s="31" t="s">
        <v>35</v>
      </c>
      <c r="F37" s="32"/>
    </row>
    <row r="38" spans="1:6" x14ac:dyDescent="0.3">
      <c r="A38" s="25"/>
      <c r="B38" s="5" t="str" cm="1">
        <f t="array" ref="B38">_xlfn.IFS($A38="","",$A38=0,0,TRUE,($A38/50)*DisplayMarker)</f>
        <v/>
      </c>
      <c r="C38" s="27"/>
      <c r="D38" s="16" t="s">
        <v>36</v>
      </c>
      <c r="E38" s="16"/>
      <c r="F38" s="17"/>
    </row>
    <row r="39" spans="1:6" x14ac:dyDescent="0.3">
      <c r="A39" s="25"/>
      <c r="B39" s="5" t="str" cm="1">
        <f t="array" ref="B39">_xlfn.IFS($A39="","",$A39=0,0,TRUE,($A39/50)*DisplayMarker)</f>
        <v/>
      </c>
      <c r="C39" s="5"/>
      <c r="D39" s="10"/>
      <c r="E39" s="16" t="s">
        <v>37</v>
      </c>
      <c r="F39" s="17"/>
    </row>
    <row r="40" spans="1:6" x14ac:dyDescent="0.3">
      <c r="A40" s="28"/>
      <c r="B40" s="29" t="str" cm="1">
        <f t="array" ref="B40">_xlfn.IFS($A40="","",$A40=0,0,TRUE,($A40/50)*DisplayMarker)</f>
        <v/>
      </c>
      <c r="C40" s="29"/>
      <c r="D40" s="48"/>
      <c r="E40" s="31" t="s">
        <v>38</v>
      </c>
      <c r="F40" s="32"/>
    </row>
    <row r="41" spans="1:6" x14ac:dyDescent="0.3">
      <c r="A41" s="25"/>
      <c r="B41" s="5" t="str" cm="1">
        <f t="array" ref="B41">_xlfn.IFS($A41="","",$A41=0,0,TRUE,($A41/50)*DisplayMarker)</f>
        <v/>
      </c>
      <c r="C41" s="27"/>
      <c r="D41" s="16" t="s">
        <v>39</v>
      </c>
      <c r="E41" s="16"/>
      <c r="F41" s="17"/>
    </row>
    <row r="42" spans="1:6" x14ac:dyDescent="0.3">
      <c r="A42" s="25"/>
      <c r="B42" s="5" t="str" cm="1">
        <f t="array" ref="B42">_xlfn.IFS($A42="","",$A42=0,0,TRUE,($A42/50)*DisplayMarker)</f>
        <v/>
      </c>
      <c r="C42" s="5"/>
      <c r="D42" s="10"/>
      <c r="E42" s="12" t="s">
        <v>40</v>
      </c>
      <c r="F42" s="13"/>
    </row>
    <row r="43" spans="1:6" x14ac:dyDescent="0.3">
      <c r="A43" s="25"/>
      <c r="B43" s="5" t="str" cm="1">
        <f t="array" ref="B43">_xlfn.IFS($A43="","",$A43=0,0,TRUE,($A43/50)*DisplayMarker)</f>
        <v/>
      </c>
      <c r="C43" s="5"/>
      <c r="D43" s="11"/>
      <c r="E43" s="10"/>
      <c r="F43" s="13" t="s">
        <v>41</v>
      </c>
    </row>
    <row r="44" spans="1:6" x14ac:dyDescent="0.3">
      <c r="A44" s="25"/>
      <c r="B44" s="5" t="str" cm="1">
        <f t="array" ref="B44">_xlfn.IFS($A44="","",$A44=0,0,TRUE,($A44/50)*DisplayMarker)</f>
        <v/>
      </c>
      <c r="C44" s="5"/>
      <c r="D44" s="11"/>
      <c r="E44" s="10"/>
      <c r="F44" s="13" t="s">
        <v>42</v>
      </c>
    </row>
    <row r="45" spans="1:6" x14ac:dyDescent="0.3">
      <c r="A45" s="25"/>
      <c r="B45" s="5" t="str" cm="1">
        <f t="array" ref="B45">_xlfn.IFS($A45="","",$A45=0,0,TRUE,($A45/50)*DisplayMarker)</f>
        <v/>
      </c>
      <c r="C45" s="5"/>
      <c r="D45" s="11"/>
      <c r="E45" s="10"/>
      <c r="F45" s="13" t="s">
        <v>43</v>
      </c>
    </row>
    <row r="46" spans="1:6" x14ac:dyDescent="0.3">
      <c r="A46" s="25"/>
      <c r="B46" s="5" t="str" cm="1">
        <f t="array" ref="B46">_xlfn.IFS($A46="","",$A46=0,0,TRUE,($A46/50)*DisplayMarker)</f>
        <v/>
      </c>
      <c r="C46" s="5"/>
      <c r="D46" s="11"/>
      <c r="E46" s="10"/>
      <c r="F46" s="13" t="s">
        <v>44</v>
      </c>
    </row>
    <row r="47" spans="1:6" x14ac:dyDescent="0.3">
      <c r="A47" s="25"/>
      <c r="B47" s="5" t="str" cm="1">
        <f t="array" ref="B47">_xlfn.IFS($A47="","",$A47=0,0,TRUE,($A47/50)*DisplayMarker)</f>
        <v/>
      </c>
      <c r="C47" s="5"/>
      <c r="D47" s="11"/>
      <c r="E47" s="10"/>
      <c r="F47" s="13" t="s">
        <v>45</v>
      </c>
    </row>
    <row r="48" spans="1:6" x14ac:dyDescent="0.3">
      <c r="A48" s="28"/>
      <c r="B48" s="29" t="str" cm="1">
        <f t="array" ref="B48">_xlfn.IFS($A48="","",$A48=0,0,TRUE,($A48/50)*DisplayMarker)</f>
        <v/>
      </c>
      <c r="C48" s="29"/>
      <c r="D48" s="30"/>
      <c r="E48" s="31" t="s">
        <v>46</v>
      </c>
      <c r="F48" s="32"/>
    </row>
    <row r="49" spans="1:6" x14ac:dyDescent="0.3">
      <c r="A49" s="25"/>
      <c r="B49" s="5" t="str" cm="1">
        <f t="array" ref="B49">_xlfn.IFS($A49="","",$A49=0,0,TRUE,($A49/50)*DisplayMarker)</f>
        <v/>
      </c>
      <c r="C49" s="27"/>
      <c r="D49" s="16" t="s">
        <v>47</v>
      </c>
      <c r="E49" s="16"/>
      <c r="F49" s="17"/>
    </row>
    <row r="50" spans="1:6" x14ac:dyDescent="0.3">
      <c r="A50" s="28"/>
      <c r="B50" s="29" t="str" cm="1">
        <f t="array" ref="B50">_xlfn.IFS($A50="","",$A50=0,0,TRUE,($A50/50)*DisplayMarker)</f>
        <v/>
      </c>
      <c r="C50" s="29"/>
      <c r="D50" s="30"/>
      <c r="E50" s="31" t="s">
        <v>48</v>
      </c>
      <c r="F50" s="32"/>
    </row>
    <row r="51" spans="1:6" x14ac:dyDescent="0.3">
      <c r="A51" s="25"/>
      <c r="B51" s="5" t="str" cm="1">
        <f t="array" ref="B51">_xlfn.IFS($A51="","",$A51=0,0,TRUE,($A51/50)*DisplayMarker)</f>
        <v/>
      </c>
      <c r="C51" s="27"/>
      <c r="D51" s="16" t="s">
        <v>49</v>
      </c>
      <c r="E51" s="16"/>
      <c r="F51" s="17"/>
    </row>
    <row r="52" spans="1:6" x14ac:dyDescent="0.3">
      <c r="A52" s="28"/>
      <c r="B52" s="29" t="str" cm="1">
        <f t="array" ref="B52">_xlfn.IFS($A52="","",$A52=0,0,TRUE,($A52/50)*DisplayMarker)</f>
        <v/>
      </c>
      <c r="C52" s="29"/>
      <c r="D52" s="30"/>
      <c r="E52" s="31" t="s">
        <v>50</v>
      </c>
      <c r="F52" s="32"/>
    </row>
    <row r="53" spans="1:6" x14ac:dyDescent="0.3">
      <c r="A53" s="25"/>
      <c r="B53" s="5" t="str" cm="1">
        <f t="array" ref="B53">_xlfn.IFS($A53="","",$A53=0,0,TRUE,($A53/50)*DisplayMarker)</f>
        <v/>
      </c>
      <c r="C53" s="27"/>
      <c r="D53" s="16" t="s">
        <v>51</v>
      </c>
      <c r="E53" s="16"/>
      <c r="F53" s="17"/>
    </row>
    <row r="54" spans="1:6" x14ac:dyDescent="0.3">
      <c r="A54" s="25"/>
      <c r="B54" s="5" t="str" cm="1">
        <f t="array" ref="B54">_xlfn.IFS($A54="","",$A54=0,0,TRUE,($A54/50)*DisplayMarker)</f>
        <v/>
      </c>
      <c r="C54" s="5"/>
      <c r="D54" s="10"/>
      <c r="E54" s="16" t="s">
        <v>52</v>
      </c>
      <c r="F54" s="17"/>
    </row>
    <row r="55" spans="1:6" x14ac:dyDescent="0.3">
      <c r="A55" s="28"/>
      <c r="B55" s="29" t="str" cm="1">
        <f t="array" ref="B55">_xlfn.IFS($A55="","",$A55=0,0,TRUE,($A55/50)*DisplayMarker)</f>
        <v/>
      </c>
      <c r="C55" s="29"/>
      <c r="D55" s="30"/>
      <c r="E55" s="31" t="s">
        <v>53</v>
      </c>
      <c r="F55" s="32"/>
    </row>
    <row r="56" spans="1:6" x14ac:dyDescent="0.3">
      <c r="A56" s="25"/>
      <c r="B56" s="5" t="str" cm="1">
        <f t="array" ref="B56">_xlfn.IFS($A56="","",$A56=0,0,TRUE,($A56/50)*DisplayMarker)</f>
        <v/>
      </c>
      <c r="C56" s="27"/>
      <c r="D56" s="16" t="s">
        <v>54</v>
      </c>
      <c r="E56" s="16"/>
      <c r="F56" s="17"/>
    </row>
    <row r="57" spans="1:6" x14ac:dyDescent="0.3">
      <c r="A57" s="28"/>
      <c r="B57" s="29" t="str" cm="1">
        <f t="array" ref="B57">_xlfn.IFS($A57="","",$A57=0,0,TRUE,($A57/50)*DisplayMarker)</f>
        <v/>
      </c>
      <c r="C57" s="29"/>
      <c r="D57" s="30"/>
      <c r="E57" s="31" t="s">
        <v>55</v>
      </c>
      <c r="F57" s="32"/>
    </row>
    <row r="58" spans="1:6" x14ac:dyDescent="0.3">
      <c r="A58" s="25"/>
      <c r="B58" s="5" t="str" cm="1">
        <f t="array" ref="B58">_xlfn.IFS($A58="","",$A58=0,0,TRUE,($A58/50)*DisplayMarker)</f>
        <v/>
      </c>
      <c r="C58" s="27"/>
      <c r="D58" s="16" t="s">
        <v>56</v>
      </c>
      <c r="E58" s="16"/>
      <c r="F58" s="17"/>
    </row>
    <row r="59" spans="1:6" x14ac:dyDescent="0.3">
      <c r="A59" s="28"/>
      <c r="B59" s="29" t="str" cm="1">
        <f t="array" ref="B59">_xlfn.IFS($A59="","",$A59=0,0,TRUE,($A59/50)*DisplayMarker)</f>
        <v/>
      </c>
      <c r="C59" s="29"/>
      <c r="D59" s="30"/>
      <c r="E59" s="31" t="s">
        <v>57</v>
      </c>
      <c r="F59" s="32"/>
    </row>
    <row r="60" spans="1:6" x14ac:dyDescent="0.3">
      <c r="A60" s="25"/>
      <c r="B60" s="5" t="str" cm="1">
        <f t="array" ref="B60">_xlfn.IFS($A60="","",$A60=0,0,TRUE,($A60/50)*DisplayMarker)</f>
        <v/>
      </c>
      <c r="C60" s="27"/>
      <c r="D60" s="16" t="s">
        <v>58</v>
      </c>
      <c r="E60" s="16"/>
      <c r="F60" s="17"/>
    </row>
    <row r="61" spans="1:6" x14ac:dyDescent="0.3">
      <c r="A61" s="28"/>
      <c r="B61" s="29" t="str" cm="1">
        <f t="array" ref="B61">_xlfn.IFS($A61="","",$A61=0,0,TRUE,($A61/50)*DisplayMarker)</f>
        <v/>
      </c>
      <c r="C61" s="29"/>
      <c r="D61" s="30"/>
      <c r="E61" s="31" t="s">
        <v>59</v>
      </c>
      <c r="F61" s="32"/>
    </row>
    <row r="62" spans="1:6" x14ac:dyDescent="0.3">
      <c r="A62" s="25"/>
      <c r="B62" s="5" t="str" cm="1">
        <f t="array" ref="B62">_xlfn.IFS($A62="","",$A62=0,0,TRUE,($A62/50)*DisplayMarker)</f>
        <v/>
      </c>
      <c r="C62" s="27"/>
      <c r="D62" s="16" t="s">
        <v>60</v>
      </c>
      <c r="E62" s="16"/>
      <c r="F62" s="17"/>
    </row>
    <row r="63" spans="1:6" x14ac:dyDescent="0.3">
      <c r="A63" s="28"/>
      <c r="B63" s="29" t="str" cm="1">
        <f t="array" ref="B63">_xlfn.IFS($A63="","",$A63=0,0,TRUE,($A63/50)*DisplayMarker)</f>
        <v/>
      </c>
      <c r="C63" s="29"/>
      <c r="D63" s="30"/>
      <c r="E63" s="31" t="s">
        <v>61</v>
      </c>
      <c r="F63" s="32"/>
    </row>
    <row r="64" spans="1:6" x14ac:dyDescent="0.3">
      <c r="A64" s="25"/>
      <c r="B64" s="5" t="str" cm="1">
        <f t="array" ref="B64">_xlfn.IFS($A64="","",$A64=0,0,TRUE,($A64/50)*DisplayMarker)</f>
        <v/>
      </c>
      <c r="C64" s="27"/>
      <c r="D64" s="16" t="s">
        <v>62</v>
      </c>
      <c r="E64" s="16"/>
      <c r="F64" s="17"/>
    </row>
    <row r="65" spans="1:6" x14ac:dyDescent="0.3">
      <c r="A65" s="28"/>
      <c r="B65" s="29" t="str" cm="1">
        <f t="array" ref="B65">_xlfn.IFS($A65="","",$A65=0,0,TRUE,($A65/50)*DisplayMarker)</f>
        <v/>
      </c>
      <c r="C65" s="29"/>
      <c r="D65" s="30"/>
      <c r="E65" s="31" t="s">
        <v>63</v>
      </c>
      <c r="F65" s="32"/>
    </row>
    <row r="66" spans="1:6" x14ac:dyDescent="0.3">
      <c r="A66" s="25"/>
      <c r="B66" s="5" t="str" cm="1">
        <f t="array" ref="B66">_xlfn.IFS($A66="","",$A66=0,0,TRUE,($A66/50)*DisplayMarker)</f>
        <v/>
      </c>
      <c r="C66" s="27"/>
      <c r="D66" s="16" t="s">
        <v>64</v>
      </c>
      <c r="E66" s="16"/>
      <c r="F66" s="17"/>
    </row>
    <row r="67" spans="1:6" x14ac:dyDescent="0.3">
      <c r="A67" s="28"/>
      <c r="B67" s="29" t="str" cm="1">
        <f t="array" ref="B67">_xlfn.IFS($A67="","",$A67=0,0,TRUE,($A67/50)*DisplayMarker)</f>
        <v/>
      </c>
      <c r="C67" s="29"/>
      <c r="D67" s="30"/>
      <c r="E67" s="31" t="s">
        <v>65</v>
      </c>
      <c r="F67" s="32"/>
    </row>
    <row r="68" spans="1:6" x14ac:dyDescent="0.3">
      <c r="A68" s="25"/>
      <c r="B68" s="5" t="str" cm="1">
        <f t="array" ref="B68">_xlfn.IFS($A68="","",$A68=0,0,TRUE,($A68/50)*DisplayMarker)</f>
        <v/>
      </c>
      <c r="C68" s="27"/>
      <c r="D68" s="16" t="s">
        <v>67</v>
      </c>
      <c r="E68" s="16"/>
      <c r="F68" s="17"/>
    </row>
    <row r="69" spans="1:6" x14ac:dyDescent="0.3">
      <c r="A69" s="25"/>
      <c r="B69" s="5" t="str" cm="1">
        <f t="array" ref="B69">_xlfn.IFS($A69="","",$A69=0,0,TRUE,($A69/50)*DisplayMarker)</f>
        <v/>
      </c>
      <c r="C69" s="5"/>
      <c r="D69" s="10"/>
      <c r="E69" s="16" t="s">
        <v>66</v>
      </c>
      <c r="F69" s="17"/>
    </row>
    <row r="70" spans="1:6" x14ac:dyDescent="0.3">
      <c r="A70" s="28"/>
      <c r="B70" s="29" t="str" cm="1">
        <f t="array" ref="B70">_xlfn.IFS($A70="","",$A70=0,0,TRUE,($A70/50)*DisplayMarker)</f>
        <v/>
      </c>
      <c r="C70" s="29"/>
      <c r="D70" s="48"/>
      <c r="E70" s="31" t="s">
        <v>68</v>
      </c>
      <c r="F70" s="32"/>
    </row>
    <row r="71" spans="1:6" x14ac:dyDescent="0.3">
      <c r="A71" s="25"/>
      <c r="B71" s="5" t="str" cm="1">
        <f t="array" ref="B71">_xlfn.IFS($A71="","",$A71=0,0,TRUE,($A71/50)*DisplayMarker)</f>
        <v/>
      </c>
      <c r="C71" s="27"/>
      <c r="D71" s="16" t="s">
        <v>69</v>
      </c>
      <c r="E71" s="16"/>
      <c r="F71" s="17"/>
    </row>
    <row r="72" spans="1:6" x14ac:dyDescent="0.3">
      <c r="A72" s="25"/>
      <c r="B72" s="5" t="str" cm="1">
        <f t="array" ref="B72">_xlfn.IFS($A72="","",$A72=0,0,TRUE,($A72/50)*DisplayMarker)</f>
        <v/>
      </c>
      <c r="C72" s="5"/>
      <c r="D72" s="10"/>
      <c r="E72" s="16" t="s">
        <v>70</v>
      </c>
      <c r="F72" s="17"/>
    </row>
    <row r="73" spans="1:6" ht="15" thickBot="1" x14ac:dyDescent="0.35">
      <c r="A73" s="35"/>
      <c r="B73" s="36" t="str" cm="1">
        <f t="array" ref="B73">_xlfn.IFS($A73="","",$A73=0,0,TRUE,($A73/50)*DisplayMarker)</f>
        <v/>
      </c>
      <c r="C73" s="36"/>
      <c r="D73" s="50"/>
      <c r="E73" s="37" t="s">
        <v>71</v>
      </c>
      <c r="F73" s="38"/>
    </row>
    <row r="74" spans="1:6" x14ac:dyDescent="0.3">
      <c r="A74" s="25">
        <v>50</v>
      </c>
      <c r="B74" s="5" cm="1">
        <f t="array" ref="B74">_xlfn.IFS($A74="","",$A74=0,0,TRUE,($A74/50)*DisplayMarker)</f>
        <v>150</v>
      </c>
      <c r="C74" s="27"/>
      <c r="D74" s="16" t="s">
        <v>72</v>
      </c>
      <c r="E74" s="16"/>
      <c r="F74" s="17"/>
    </row>
    <row r="75" spans="1:6" x14ac:dyDescent="0.3">
      <c r="A75" s="25"/>
      <c r="B75" s="5" t="str" cm="1">
        <f t="array" ref="B75">_xlfn.IFS($A75="","",$A75=0,0,TRUE,($A75/50)*DisplayMarker)</f>
        <v/>
      </c>
      <c r="C75" s="10"/>
      <c r="D75" s="16" t="s">
        <v>73</v>
      </c>
      <c r="E75" s="16"/>
      <c r="F75" s="17"/>
    </row>
    <row r="76" spans="1:6" x14ac:dyDescent="0.3">
      <c r="A76" s="25"/>
      <c r="B76" s="5" t="str" cm="1">
        <f t="array" ref="B76">_xlfn.IFS($A76="","",$A76=0,0,TRUE,($A76/50)*DisplayMarker)</f>
        <v/>
      </c>
      <c r="C76" s="10"/>
      <c r="D76" s="16" t="s">
        <v>74</v>
      </c>
      <c r="E76" s="16"/>
      <c r="F76" s="17"/>
    </row>
    <row r="77" spans="1:6" x14ac:dyDescent="0.3">
      <c r="A77" s="28"/>
      <c r="B77" s="29" t="str" cm="1">
        <f t="array" ref="B77">_xlfn.IFS($A77="","",$A77=0,0,TRUE,($A77/50)*DisplayMarker)</f>
        <v/>
      </c>
      <c r="C77" s="30"/>
      <c r="D77" s="31" t="s">
        <v>75</v>
      </c>
      <c r="E77" s="31"/>
      <c r="F77" s="32"/>
    </row>
    <row r="78" spans="1:6" x14ac:dyDescent="0.3">
      <c r="A78" s="25"/>
      <c r="B78" s="5" t="str" cm="1">
        <f t="array" ref="B78">_xlfn.IFS($A78="","",$A78=0,0,TRUE,($A78/50)*DisplayMarker)</f>
        <v/>
      </c>
      <c r="C78" s="27"/>
      <c r="D78" s="16" t="s">
        <v>76</v>
      </c>
      <c r="E78" s="16"/>
      <c r="F78" s="17"/>
    </row>
    <row r="79" spans="1:6" x14ac:dyDescent="0.3">
      <c r="A79" s="28"/>
      <c r="B79" s="29" t="str" cm="1">
        <f t="array" ref="B79">_xlfn.IFS($A79="","",$A79=0,0,TRUE,($A79/50)*DisplayMarker)</f>
        <v/>
      </c>
      <c r="C79" s="29"/>
      <c r="D79" s="30"/>
      <c r="E79" s="31" t="s">
        <v>77</v>
      </c>
      <c r="F79" s="32"/>
    </row>
    <row r="80" spans="1:6" x14ac:dyDescent="0.3">
      <c r="A80" s="25"/>
      <c r="B80" s="5" t="str" cm="1">
        <f t="array" ref="B80">_xlfn.IFS($A80="","",$A80=0,0,TRUE,($A80/50)*DisplayMarker)</f>
        <v/>
      </c>
      <c r="C80" s="27"/>
      <c r="D80" s="16" t="s">
        <v>78</v>
      </c>
      <c r="E80" s="16"/>
      <c r="F80" s="17"/>
    </row>
    <row r="81" spans="1:6" x14ac:dyDescent="0.3">
      <c r="A81" s="25"/>
      <c r="B81" s="5" t="str" cm="1">
        <f t="array" ref="B81">_xlfn.IFS($A81="","",$A81=0,0,TRUE,($A81/50)*DisplayMarker)</f>
        <v/>
      </c>
      <c r="C81" s="5"/>
      <c r="D81" s="10"/>
      <c r="E81" s="16" t="s">
        <v>79</v>
      </c>
      <c r="F81" s="17"/>
    </row>
    <row r="82" spans="1:6" ht="15" thickBot="1" x14ac:dyDescent="0.35">
      <c r="A82" s="35"/>
      <c r="B82" s="36" t="str" cm="1">
        <f t="array" ref="B82">_xlfn.IFS($A82="","",$A82=0,0,TRUE,($A82/50)*DisplayMarker)</f>
        <v/>
      </c>
      <c r="C82" s="36"/>
      <c r="D82" s="39"/>
      <c r="E82" s="37" t="s">
        <v>80</v>
      </c>
      <c r="F82" s="38"/>
    </row>
    <row r="83" spans="1:6" x14ac:dyDescent="0.3">
      <c r="A83" s="25">
        <v>75</v>
      </c>
      <c r="B83" s="5" cm="1">
        <f t="array" ref="B83">_xlfn.IFS($A83="","",$A83=0,0,TRUE,($A83/50)*DisplayMarker)</f>
        <v>225</v>
      </c>
      <c r="C83" s="27"/>
      <c r="D83" s="16" t="s">
        <v>81</v>
      </c>
      <c r="E83" s="16"/>
      <c r="F83" s="17"/>
    </row>
    <row r="84" spans="1:6" x14ac:dyDescent="0.3">
      <c r="A84" s="25"/>
      <c r="B84" s="5" t="str" cm="1">
        <f t="array" ref="B84">_xlfn.IFS($A84="","",$A84=0,0,TRUE,($A84/50)*DisplayMarker)</f>
        <v/>
      </c>
      <c r="C84" s="5"/>
      <c r="D84" s="10"/>
      <c r="E84" s="16" t="s">
        <v>40</v>
      </c>
      <c r="F84" s="17"/>
    </row>
    <row r="85" spans="1:6" x14ac:dyDescent="0.3">
      <c r="A85" s="25"/>
      <c r="B85" s="5" t="str" cm="1">
        <f t="array" ref="B85">_xlfn.IFS($A85="","",$A85=0,0,TRUE,($A85/50)*DisplayMarker)</f>
        <v/>
      </c>
      <c r="C85" s="5"/>
      <c r="D85" s="11"/>
      <c r="E85" s="10"/>
      <c r="F85" s="20" t="s">
        <v>83</v>
      </c>
    </row>
    <row r="86" spans="1:6" x14ac:dyDescent="0.3">
      <c r="A86" s="25"/>
      <c r="B86" s="5" t="str" cm="1">
        <f t="array" ref="B86">_xlfn.IFS($A86="","",$A86=0,0,TRUE,($A86/50)*DisplayMarker)</f>
        <v/>
      </c>
      <c r="C86" s="5"/>
      <c r="D86" s="11"/>
      <c r="E86" s="10"/>
      <c r="F86" s="13" t="s">
        <v>82</v>
      </c>
    </row>
    <row r="87" spans="1:6" x14ac:dyDescent="0.3">
      <c r="A87" s="25"/>
      <c r="B87" s="5" t="str" cm="1">
        <f t="array" ref="B87">_xlfn.IFS($A87="","",$A87=0,0,TRUE,($A87/50)*DisplayMarker)</f>
        <v/>
      </c>
      <c r="C87" s="5"/>
      <c r="D87" s="11"/>
      <c r="E87" s="10"/>
      <c r="F87" s="13" t="s">
        <v>84</v>
      </c>
    </row>
    <row r="88" spans="1:6" x14ac:dyDescent="0.3">
      <c r="A88" s="25"/>
      <c r="B88" s="5" t="str" cm="1">
        <f t="array" ref="B88">_xlfn.IFS($A88="","",$A88=0,0,TRUE,($A88/50)*DisplayMarker)</f>
        <v/>
      </c>
      <c r="C88" s="5"/>
      <c r="D88" s="10"/>
      <c r="E88" s="12" t="s">
        <v>85</v>
      </c>
      <c r="F88" s="13"/>
    </row>
    <row r="89" spans="1:6" x14ac:dyDescent="0.3">
      <c r="A89" s="28"/>
      <c r="B89" s="29" t="str" cm="1">
        <f t="array" ref="B89">_xlfn.IFS($A89="","",$A89=0,0,TRUE,($A89/50)*DisplayMarker)</f>
        <v/>
      </c>
      <c r="C89" s="29"/>
      <c r="D89" s="48"/>
      <c r="E89" s="40" t="s">
        <v>86</v>
      </c>
      <c r="F89" s="33"/>
    </row>
    <row r="90" spans="1:6" x14ac:dyDescent="0.3">
      <c r="A90" s="25"/>
      <c r="B90" s="5" t="str" cm="1">
        <f t="array" ref="B90">_xlfn.IFS($A90="","",$A90=0,0,TRUE,($A90/50)*DisplayMarker)</f>
        <v/>
      </c>
      <c r="C90" s="27"/>
      <c r="D90" s="16" t="s">
        <v>87</v>
      </c>
      <c r="E90" s="16"/>
      <c r="F90" s="17"/>
    </row>
    <row r="91" spans="1:6" x14ac:dyDescent="0.3">
      <c r="A91" s="25"/>
      <c r="B91" s="5" t="str" cm="1">
        <f t="array" ref="B91">_xlfn.IFS($A91="","",$A91=0,0,TRUE,($A91/50)*DisplayMarker)</f>
        <v/>
      </c>
      <c r="C91" s="5"/>
      <c r="D91" s="10"/>
      <c r="E91" s="16" t="s">
        <v>40</v>
      </c>
      <c r="F91" s="17"/>
    </row>
    <row r="92" spans="1:6" x14ac:dyDescent="0.3">
      <c r="A92" s="25"/>
      <c r="B92" s="5" t="str" cm="1">
        <f t="array" ref="B92">_xlfn.IFS($A92="","",$A92=0,0,TRUE,($A92/50)*DisplayMarker)</f>
        <v/>
      </c>
      <c r="C92" s="5"/>
      <c r="D92" s="11"/>
      <c r="E92" s="10"/>
      <c r="F92" s="13" t="s">
        <v>81</v>
      </c>
    </row>
    <row r="93" spans="1:6" x14ac:dyDescent="0.3">
      <c r="A93" s="28"/>
      <c r="B93" s="29" t="str" cm="1">
        <f t="array" ref="B93">_xlfn.IFS($A93="","",$A93=0,0,TRUE,($A93/50)*DisplayMarker)</f>
        <v/>
      </c>
      <c r="C93" s="29"/>
      <c r="D93" s="29"/>
      <c r="E93" s="30"/>
      <c r="F93" s="33" t="s">
        <v>88</v>
      </c>
    </row>
    <row r="94" spans="1:6" x14ac:dyDescent="0.3">
      <c r="A94" s="25"/>
      <c r="B94" s="5" t="str" cm="1">
        <f t="array" ref="B94">_xlfn.IFS($A94="","",$A94=0,0,TRUE,($A94/50)*DisplayMarker)</f>
        <v/>
      </c>
      <c r="C94" s="27"/>
      <c r="D94" s="16" t="s">
        <v>89</v>
      </c>
      <c r="E94" s="16"/>
      <c r="F94" s="17"/>
    </row>
    <row r="95" spans="1:6" ht="15" thickBot="1" x14ac:dyDescent="0.35">
      <c r="A95" s="35"/>
      <c r="B95" s="36" t="str" cm="1">
        <f t="array" ref="B95">_xlfn.IFS($A95="","",$A95=0,0,TRUE,($A95/50)*DisplayMarker)</f>
        <v/>
      </c>
      <c r="C95" s="36"/>
      <c r="D95" s="39"/>
      <c r="E95" s="37" t="s">
        <v>90</v>
      </c>
      <c r="F95" s="38"/>
    </row>
    <row r="96" spans="1:6" x14ac:dyDescent="0.3">
      <c r="A96" s="25">
        <v>100</v>
      </c>
      <c r="B96" s="5" cm="1">
        <f t="array" ref="B96">_xlfn.IFS($A96="","",$A96=0,0,TRUE,($A96/50)*DisplayMarker)</f>
        <v>300</v>
      </c>
      <c r="C96" s="27"/>
      <c r="D96" s="16" t="s">
        <v>91</v>
      </c>
      <c r="E96" s="16"/>
      <c r="F96" s="17"/>
    </row>
    <row r="97" spans="1:6" x14ac:dyDescent="0.3">
      <c r="A97" s="25"/>
      <c r="B97" s="5" t="str" cm="1">
        <f t="array" ref="B97">_xlfn.IFS($A97="","",$A97=0,0,TRUE,($A97/50)*DisplayMarker)</f>
        <v/>
      </c>
      <c r="C97" s="10"/>
      <c r="D97" s="16" t="s">
        <v>92</v>
      </c>
      <c r="E97" s="16"/>
      <c r="F97" s="17"/>
    </row>
    <row r="98" spans="1:6" x14ac:dyDescent="0.3">
      <c r="A98" s="28"/>
      <c r="B98" s="29" t="str" cm="1">
        <f t="array" ref="B98">_xlfn.IFS($A98="","",$A98=0,0,TRUE,($A98/50)*DisplayMarker)</f>
        <v/>
      </c>
      <c r="C98" s="29"/>
      <c r="D98" s="30"/>
      <c r="E98" s="31" t="s">
        <v>93</v>
      </c>
      <c r="F98" s="32"/>
    </row>
    <row r="99" spans="1:6" x14ac:dyDescent="0.3">
      <c r="A99" s="25"/>
      <c r="B99" s="5" t="str" cm="1">
        <f t="array" ref="B99">_xlfn.IFS($A99="","",$A99=0,0,TRUE,($A99/50)*DisplayMarker)</f>
        <v/>
      </c>
      <c r="C99" s="27"/>
      <c r="D99" s="16" t="s">
        <v>94</v>
      </c>
      <c r="E99" s="16"/>
      <c r="F99" s="17"/>
    </row>
    <row r="100" spans="1:6" x14ac:dyDescent="0.3">
      <c r="A100" s="25"/>
      <c r="B100" s="5" t="str" cm="1">
        <f t="array" ref="B100">_xlfn.IFS($A100="","",$A100=0,0,TRUE,($A100/50)*DisplayMarker)</f>
        <v/>
      </c>
      <c r="C100" s="10"/>
      <c r="D100" s="16" t="s">
        <v>95</v>
      </c>
      <c r="E100" s="16"/>
      <c r="F100" s="17"/>
    </row>
    <row r="101" spans="1:6" ht="15" thickBot="1" x14ac:dyDescent="0.35">
      <c r="A101" s="35"/>
      <c r="B101" s="36" t="str" cm="1">
        <f t="array" ref="B101">_xlfn.IFS($A101="","",$A101=0,0,TRUE,($A101/50)*DisplayMarker)</f>
        <v/>
      </c>
      <c r="C101" s="36"/>
      <c r="D101" s="39"/>
      <c r="E101" s="37" t="s">
        <v>96</v>
      </c>
      <c r="F101" s="38"/>
    </row>
    <row r="102" spans="1:6" x14ac:dyDescent="0.3">
      <c r="A102" s="25">
        <v>150</v>
      </c>
      <c r="B102" s="5" cm="1">
        <f t="array" ref="B102">_xlfn.IFS($A102="","",$A102=0,0,TRUE,($A102/50)*DisplayMarker)</f>
        <v>450</v>
      </c>
      <c r="C102" s="27"/>
      <c r="D102" s="16" t="s">
        <v>97</v>
      </c>
      <c r="E102" s="16"/>
      <c r="F102" s="17"/>
    </row>
    <row r="103" spans="1:6" x14ac:dyDescent="0.3">
      <c r="A103" s="25"/>
      <c r="B103" s="5" t="str" cm="1">
        <f t="array" ref="B103">_xlfn.IFS($A103="","",$A103=0,0,TRUE,($A103/50)*DisplayMarker)</f>
        <v/>
      </c>
      <c r="C103" s="10"/>
      <c r="D103" s="16" t="s">
        <v>98</v>
      </c>
      <c r="E103" s="16"/>
      <c r="F103" s="17"/>
    </row>
    <row r="104" spans="1:6" x14ac:dyDescent="0.3">
      <c r="A104" s="25"/>
      <c r="B104" s="5" t="str" cm="1">
        <f t="array" ref="B104">_xlfn.IFS($A104="","",$A104=0,0,TRUE,($A104/50)*DisplayMarker)</f>
        <v/>
      </c>
      <c r="C104" s="10"/>
      <c r="D104" s="16" t="s">
        <v>99</v>
      </c>
      <c r="E104" s="16"/>
      <c r="F104" s="17"/>
    </row>
    <row r="105" spans="1:6" x14ac:dyDescent="0.3">
      <c r="A105" s="28"/>
      <c r="B105" s="29" t="str" cm="1">
        <f t="array" ref="B105">_xlfn.IFS($A105="","",$A105=0,0,TRUE,($A105/50)*DisplayMarker)</f>
        <v/>
      </c>
      <c r="C105" s="29"/>
      <c r="D105" s="30"/>
      <c r="E105" s="31" t="s">
        <v>100</v>
      </c>
      <c r="F105" s="32"/>
    </row>
    <row r="106" spans="1:6" x14ac:dyDescent="0.3">
      <c r="A106" s="25"/>
      <c r="B106" s="5" t="str" cm="1">
        <f t="array" ref="B106">_xlfn.IFS($A106="","",$A106=0,0,TRUE,($A106/50)*DisplayMarker)</f>
        <v/>
      </c>
      <c r="C106" s="27"/>
      <c r="D106" s="16" t="s">
        <v>101</v>
      </c>
      <c r="E106" s="16"/>
      <c r="F106" s="17"/>
    </row>
    <row r="107" spans="1:6" x14ac:dyDescent="0.3">
      <c r="A107" s="25"/>
      <c r="B107" s="5" t="str" cm="1">
        <f t="array" ref="B107">_xlfn.IFS($A107="","",$A107=0,0,TRUE,($A107/50)*DisplayMarker)</f>
        <v/>
      </c>
      <c r="C107" s="5"/>
      <c r="D107" s="10"/>
      <c r="E107" s="16" t="s">
        <v>102</v>
      </c>
      <c r="F107" s="17"/>
    </row>
    <row r="108" spans="1:6" x14ac:dyDescent="0.3">
      <c r="A108" s="28"/>
      <c r="B108" s="29" t="str" cm="1">
        <f t="array" ref="B108">_xlfn.IFS($A108="","",$A108=0,0,TRUE,($A108/50)*DisplayMarker)</f>
        <v/>
      </c>
      <c r="C108" s="29"/>
      <c r="D108" s="30"/>
      <c r="E108" s="31" t="s">
        <v>103</v>
      </c>
      <c r="F108" s="32"/>
    </row>
    <row r="109" spans="1:6" x14ac:dyDescent="0.3">
      <c r="A109" s="25"/>
      <c r="B109" s="5" t="str" cm="1">
        <f t="array" ref="B109">_xlfn.IFS($A109="","",$A109=0,0,TRUE,($A109/50)*DisplayMarker)</f>
        <v/>
      </c>
      <c r="C109" s="27"/>
      <c r="D109" s="16" t="s">
        <v>104</v>
      </c>
      <c r="E109" s="16"/>
      <c r="F109" s="17"/>
    </row>
    <row r="110" spans="1:6" x14ac:dyDescent="0.3">
      <c r="A110" s="25"/>
      <c r="B110" s="5" t="str" cm="1">
        <f t="array" ref="B110">_xlfn.IFS($A110="","",$A110=0,0,TRUE,($A110/50)*DisplayMarker)</f>
        <v/>
      </c>
      <c r="C110" s="5"/>
      <c r="D110" s="10"/>
      <c r="E110" s="16" t="s">
        <v>105</v>
      </c>
      <c r="F110" s="17"/>
    </row>
    <row r="111" spans="1:6" x14ac:dyDescent="0.3">
      <c r="A111" s="25"/>
      <c r="B111" s="5" t="str" cm="1">
        <f t="array" ref="B111">_xlfn.IFS($A111="","",$A111=0,0,TRUE,($A111/50)*DisplayMarker)</f>
        <v/>
      </c>
      <c r="C111" s="5"/>
      <c r="D111" s="10"/>
      <c r="E111" s="16" t="s">
        <v>106</v>
      </c>
      <c r="F111" s="17"/>
    </row>
    <row r="112" spans="1:6" x14ac:dyDescent="0.3">
      <c r="A112" s="28"/>
      <c r="B112" s="29" t="str" cm="1">
        <f t="array" ref="B112">_xlfn.IFS($A112="","",$A112=0,0,TRUE,($A112/50)*DisplayMarker)</f>
        <v/>
      </c>
      <c r="C112" s="29"/>
      <c r="D112" s="29"/>
      <c r="E112" s="31" t="s">
        <v>107</v>
      </c>
      <c r="F112" s="32"/>
    </row>
    <row r="113" spans="1:6" x14ac:dyDescent="0.3">
      <c r="A113" s="25"/>
      <c r="B113" s="5" t="str" cm="1">
        <f t="array" ref="B113">_xlfn.IFS($A113="","",$A113=0,0,TRUE,($A113/50)*DisplayMarker)</f>
        <v/>
      </c>
      <c r="C113" s="27"/>
      <c r="D113" s="16" t="s">
        <v>108</v>
      </c>
      <c r="E113" s="16"/>
      <c r="F113" s="17"/>
    </row>
    <row r="114" spans="1:6" x14ac:dyDescent="0.3">
      <c r="A114" s="25"/>
      <c r="B114" s="5" t="str" cm="1">
        <f t="array" ref="B114">_xlfn.IFS($A114="","",$A114=0,0,TRUE,($A114/50)*DisplayMarker)</f>
        <v/>
      </c>
      <c r="C114" s="5"/>
      <c r="D114" s="10"/>
      <c r="E114" s="16" t="s">
        <v>40</v>
      </c>
      <c r="F114" s="17"/>
    </row>
    <row r="115" spans="1:6" x14ac:dyDescent="0.3">
      <c r="A115" s="25"/>
      <c r="B115" s="5" t="str" cm="1">
        <f t="array" ref="B115">_xlfn.IFS($A115="","",$A115=0,0,TRUE,($A115/50)*DisplayMarker)</f>
        <v/>
      </c>
      <c r="C115" s="5"/>
      <c r="D115" s="11"/>
      <c r="E115" s="10"/>
      <c r="F115" s="13" t="s">
        <v>109</v>
      </c>
    </row>
    <row r="116" spans="1:6" x14ac:dyDescent="0.3">
      <c r="A116" s="25"/>
      <c r="B116" s="5" t="str" cm="1">
        <f t="array" ref="B116">_xlfn.IFS($A116="","",$A116=0,0,TRUE,($A116/50)*DisplayMarker)</f>
        <v/>
      </c>
      <c r="C116" s="5"/>
      <c r="D116" s="11"/>
      <c r="E116" s="10"/>
      <c r="F116" s="13" t="s">
        <v>101</v>
      </c>
    </row>
    <row r="117" spans="1:6" x14ac:dyDescent="0.3">
      <c r="A117" s="28"/>
      <c r="B117" s="29" t="str" cm="1">
        <f t="array" ref="B117">_xlfn.IFS($A117="","",$A117=0,0,TRUE,($A117/50)*DisplayMarker)</f>
        <v/>
      </c>
      <c r="C117" s="29"/>
      <c r="D117" s="30"/>
      <c r="E117" s="31" t="s">
        <v>110</v>
      </c>
      <c r="F117" s="32"/>
    </row>
    <row r="118" spans="1:6" x14ac:dyDescent="0.3">
      <c r="A118" s="25"/>
      <c r="B118" s="5" t="str" cm="1">
        <f t="array" ref="B118">_xlfn.IFS($A118="","",$A118=0,0,TRUE,($A118/50)*DisplayMarker)</f>
        <v/>
      </c>
      <c r="C118" s="27"/>
      <c r="D118" s="16" t="s">
        <v>111</v>
      </c>
      <c r="E118" s="16"/>
      <c r="F118" s="17"/>
    </row>
    <row r="119" spans="1:6" x14ac:dyDescent="0.3">
      <c r="A119" s="25"/>
      <c r="B119" s="5" t="str" cm="1">
        <f t="array" ref="B119">_xlfn.IFS($A119="","",$A119=0,0,TRUE,($A119/50)*DisplayMarker)</f>
        <v/>
      </c>
      <c r="C119" s="5"/>
      <c r="D119" s="10"/>
      <c r="E119" s="16" t="s">
        <v>40</v>
      </c>
      <c r="F119" s="17"/>
    </row>
    <row r="120" spans="1:6" x14ac:dyDescent="0.3">
      <c r="A120" s="25"/>
      <c r="B120" s="5" t="str" cm="1">
        <f t="array" ref="B120">_xlfn.IFS($A120="","",$A120=0,0,TRUE,($A120/50)*DisplayMarker)</f>
        <v/>
      </c>
      <c r="C120" s="5"/>
      <c r="D120" s="11"/>
      <c r="E120" s="10"/>
      <c r="F120" s="20" t="s">
        <v>108</v>
      </c>
    </row>
    <row r="121" spans="1:6" x14ac:dyDescent="0.3">
      <c r="A121" s="25"/>
      <c r="B121" s="5" t="str" cm="1">
        <f t="array" ref="B121">_xlfn.IFS($A121="","",$A121=0,0,TRUE,($A121/50)*DisplayMarker)</f>
        <v/>
      </c>
      <c r="C121" s="5"/>
      <c r="D121" s="11"/>
      <c r="E121" s="10"/>
      <c r="F121" s="13" t="s">
        <v>112</v>
      </c>
    </row>
    <row r="122" spans="1:6" x14ac:dyDescent="0.3">
      <c r="A122" s="28"/>
      <c r="B122" s="29" t="str" cm="1">
        <f t="array" ref="B122">_xlfn.IFS($A122="","",$A122=0,0,TRUE,($A122/50)*DisplayMarker)</f>
        <v/>
      </c>
      <c r="C122" s="29"/>
      <c r="D122" s="30"/>
      <c r="E122" s="31" t="s">
        <v>110</v>
      </c>
      <c r="F122" s="32"/>
    </row>
    <row r="123" spans="1:6" x14ac:dyDescent="0.3">
      <c r="A123" s="25"/>
      <c r="B123" s="5" t="str" cm="1">
        <f t="array" ref="B123">_xlfn.IFS($A123="","",$A123=0,0,TRUE,($A123/50)*DisplayMarker)</f>
        <v/>
      </c>
      <c r="C123" s="27"/>
      <c r="D123" s="16" t="s">
        <v>113</v>
      </c>
      <c r="E123" s="16"/>
      <c r="F123" s="17"/>
    </row>
    <row r="124" spans="1:6" x14ac:dyDescent="0.3">
      <c r="A124" s="25"/>
      <c r="B124" s="5" t="str" cm="1">
        <f t="array" ref="B124">_xlfn.IFS($A124="","",$A124=0,0,TRUE,($A124/50)*DisplayMarker)</f>
        <v/>
      </c>
      <c r="C124" s="5"/>
      <c r="D124" s="10"/>
      <c r="E124" s="16" t="s">
        <v>40</v>
      </c>
      <c r="F124" s="17"/>
    </row>
    <row r="125" spans="1:6" x14ac:dyDescent="0.3">
      <c r="A125" s="25"/>
      <c r="B125" s="5" t="str" cm="1">
        <f t="array" ref="B125">_xlfn.IFS($A125="","",$A125=0,0,TRUE,($A125/50)*DisplayMarker)</f>
        <v/>
      </c>
      <c r="C125" s="5"/>
      <c r="D125" s="11"/>
      <c r="E125" s="10"/>
      <c r="F125" s="13" t="s">
        <v>111</v>
      </c>
    </row>
    <row r="126" spans="1:6" x14ac:dyDescent="0.3">
      <c r="A126" s="25"/>
      <c r="B126" s="5" t="str" cm="1">
        <f t="array" ref="B126">_xlfn.IFS($A126="","",$A126=0,0,TRUE,($A126/50)*DisplayMarker)</f>
        <v/>
      </c>
      <c r="C126" s="5"/>
      <c r="D126" s="11"/>
      <c r="E126" s="10"/>
      <c r="F126" s="13" t="s">
        <v>114</v>
      </c>
    </row>
    <row r="127" spans="1:6" x14ac:dyDescent="0.3">
      <c r="A127" s="28"/>
      <c r="B127" s="29" t="str" cm="1">
        <f t="array" ref="B127">_xlfn.IFS($A127="","",$A127=0,0,TRUE,($A127/50)*DisplayMarker)</f>
        <v/>
      </c>
      <c r="C127" s="29"/>
      <c r="D127" s="30"/>
      <c r="E127" s="31" t="s">
        <v>115</v>
      </c>
      <c r="F127" s="32"/>
    </row>
    <row r="128" spans="1:6" x14ac:dyDescent="0.3">
      <c r="A128" s="25"/>
      <c r="B128" s="5" t="str" cm="1">
        <f t="array" ref="B128">_xlfn.IFS($A128="","",$A128=0,0,TRUE,($A128/50)*DisplayMarker)</f>
        <v/>
      </c>
      <c r="C128" s="27"/>
      <c r="D128" s="16" t="s">
        <v>116</v>
      </c>
      <c r="E128" s="16"/>
      <c r="F128" s="17"/>
    </row>
    <row r="129" spans="1:6" x14ac:dyDescent="0.3">
      <c r="A129" s="25"/>
      <c r="B129" s="5" t="str" cm="1">
        <f t="array" ref="B129">_xlfn.IFS($A129="","",$A129=0,0,TRUE,($A129/50)*DisplayMarker)</f>
        <v/>
      </c>
      <c r="C129" s="5"/>
      <c r="D129" s="10"/>
      <c r="E129" s="16" t="s">
        <v>105</v>
      </c>
      <c r="F129" s="17"/>
    </row>
    <row r="130" spans="1:6" x14ac:dyDescent="0.3">
      <c r="A130" s="28"/>
      <c r="B130" s="29" t="str" cm="1">
        <f t="array" ref="B130">_xlfn.IFS($A130="","",$A130=0,0,TRUE,($A130/50)*DisplayMarker)</f>
        <v/>
      </c>
      <c r="C130" s="29"/>
      <c r="D130" s="30"/>
      <c r="E130" s="31" t="s">
        <v>117</v>
      </c>
      <c r="F130" s="32"/>
    </row>
    <row r="131" spans="1:6" x14ac:dyDescent="0.3">
      <c r="A131" s="25"/>
      <c r="B131" s="5" t="str" cm="1">
        <f t="array" ref="B131">_xlfn.IFS($A131="","",$A131=0,0,TRUE,($A131/50)*DisplayMarker)</f>
        <v/>
      </c>
      <c r="C131" s="27"/>
      <c r="D131" s="16" t="s">
        <v>118</v>
      </c>
      <c r="E131" s="16"/>
      <c r="F131" s="17"/>
    </row>
    <row r="132" spans="1:6" x14ac:dyDescent="0.3">
      <c r="A132" s="25"/>
      <c r="B132" s="5" t="str" cm="1">
        <f t="array" ref="B132">_xlfn.IFS($A132="","",$A132=0,0,TRUE,($A132/50)*DisplayMarker)</f>
        <v/>
      </c>
      <c r="C132" s="5"/>
      <c r="D132" s="10"/>
      <c r="E132" s="16" t="s">
        <v>105</v>
      </c>
      <c r="F132" s="17"/>
    </row>
    <row r="133" spans="1:6" x14ac:dyDescent="0.3">
      <c r="A133" s="28"/>
      <c r="B133" s="29" t="str" cm="1">
        <f t="array" ref="B133">_xlfn.IFS($A133="","",$A133=0,0,TRUE,($A133/50)*DisplayMarker)</f>
        <v/>
      </c>
      <c r="C133" s="29"/>
      <c r="D133" s="30"/>
      <c r="E133" s="31" t="s">
        <v>119</v>
      </c>
      <c r="F133" s="32"/>
    </row>
    <row r="134" spans="1:6" x14ac:dyDescent="0.3">
      <c r="A134" s="25"/>
      <c r="B134" s="5" t="str" cm="1">
        <f t="array" ref="B134">_xlfn.IFS($A134="","",$A134=0,0,TRUE,($A134/50)*DisplayMarker)</f>
        <v/>
      </c>
      <c r="C134" s="27"/>
      <c r="D134" s="16" t="s">
        <v>120</v>
      </c>
      <c r="E134" s="16"/>
      <c r="F134" s="17"/>
    </row>
    <row r="135" spans="1:6" ht="15" thickBot="1" x14ac:dyDescent="0.35">
      <c r="A135" s="35"/>
      <c r="B135" s="36" t="str" cm="1">
        <f t="array" ref="B135">_xlfn.IFS($A135="","",$A135=0,0,TRUE,($A135/50)*DisplayMarker)</f>
        <v/>
      </c>
      <c r="C135" s="36"/>
      <c r="D135" s="39"/>
      <c r="E135" s="37" t="s">
        <v>121</v>
      </c>
      <c r="F135" s="38"/>
    </row>
    <row r="136" spans="1:6" x14ac:dyDescent="0.3">
      <c r="A136" s="25">
        <v>200</v>
      </c>
      <c r="B136" s="5" cm="1">
        <f t="array" ref="B136">_xlfn.IFS($A136="","",$A136=0,0,TRUE,($A136/50)*DisplayMarker)</f>
        <v>600</v>
      </c>
      <c r="C136" s="27"/>
      <c r="D136" s="16" t="s">
        <v>122</v>
      </c>
      <c r="E136" s="16"/>
      <c r="F136" s="17"/>
    </row>
    <row r="137" spans="1:6" x14ac:dyDescent="0.3">
      <c r="A137" s="25"/>
      <c r="B137" s="5" t="str" cm="1">
        <f t="array" ref="B137">_xlfn.IFS($A137="","",$A137=0,0,TRUE,($A137/50)*DisplayMarker)</f>
        <v/>
      </c>
      <c r="C137" s="10"/>
      <c r="D137" s="16" t="s">
        <v>123</v>
      </c>
      <c r="E137" s="16"/>
      <c r="F137" s="17"/>
    </row>
    <row r="138" spans="1:6" x14ac:dyDescent="0.3">
      <c r="A138" s="25"/>
      <c r="B138" s="5" t="str" cm="1">
        <f t="array" ref="B138">_xlfn.IFS($A138="","",$A138=0,0,TRUE,($A138/50)*DisplayMarker)</f>
        <v/>
      </c>
      <c r="C138" s="10"/>
      <c r="D138" s="16" t="s">
        <v>124</v>
      </c>
      <c r="E138" s="16"/>
      <c r="F138" s="17"/>
    </row>
    <row r="139" spans="1:6" ht="15" thickBot="1" x14ac:dyDescent="0.35">
      <c r="A139" s="35"/>
      <c r="B139" s="36" t="str" cm="1">
        <f t="array" ref="B139">_xlfn.IFS($A139="","",$A139=0,0,TRUE,($A139/50)*DisplayMarker)</f>
        <v/>
      </c>
      <c r="C139" s="36"/>
      <c r="D139" s="39"/>
      <c r="E139" s="37" t="s">
        <v>125</v>
      </c>
      <c r="F139" s="38"/>
    </row>
    <row r="140" spans="1:6" x14ac:dyDescent="0.3">
      <c r="A140" s="25">
        <v>250</v>
      </c>
      <c r="B140" s="5" cm="1">
        <f t="array" ref="B140">_xlfn.IFS($A140="","",$A140=0,0,TRUE,($A140/50)*DisplayMarker)</f>
        <v>750</v>
      </c>
      <c r="C140" s="27"/>
      <c r="D140" s="16" t="s">
        <v>126</v>
      </c>
      <c r="E140" s="16"/>
      <c r="F140" s="17"/>
    </row>
    <row r="141" spans="1:6" x14ac:dyDescent="0.3">
      <c r="A141" s="25"/>
      <c r="B141" s="5" t="str" cm="1">
        <f t="array" ref="B141">_xlfn.IFS($A141="","",$A141=0,0,TRUE,($A141/50)*DisplayMarker)</f>
        <v/>
      </c>
      <c r="C141" s="10"/>
      <c r="D141" s="16" t="s">
        <v>127</v>
      </c>
      <c r="E141" s="16"/>
      <c r="F141" s="17"/>
    </row>
    <row r="142" spans="1:6" ht="15" thickBot="1" x14ac:dyDescent="0.35">
      <c r="A142" s="35"/>
      <c r="B142" s="36" t="str" cm="1">
        <f t="array" ref="B142">_xlfn.IFS($A142="","",$A142=0,0,TRUE,($A142/50)*DisplayMarker)</f>
        <v/>
      </c>
      <c r="C142" s="36"/>
      <c r="D142" s="39"/>
      <c r="E142" s="37" t="s">
        <v>128</v>
      </c>
      <c r="F142" s="38"/>
    </row>
    <row r="143" spans="1:6" x14ac:dyDescent="0.3">
      <c r="A143" s="25">
        <v>300</v>
      </c>
      <c r="B143" s="5" cm="1">
        <f t="array" ref="B143">_xlfn.IFS($A143="","",$A143=0,0,TRUE,($A143/50)*DisplayMarker)</f>
        <v>900</v>
      </c>
      <c r="C143" s="27"/>
      <c r="D143" s="16" t="s">
        <v>129</v>
      </c>
      <c r="E143" s="16"/>
      <c r="F143" s="17"/>
    </row>
    <row r="144" spans="1:6" x14ac:dyDescent="0.3">
      <c r="A144" s="25"/>
      <c r="B144" s="5" t="str" cm="1">
        <f t="array" ref="B144">_xlfn.IFS($A144="","",$A144=0,0,TRUE,($A144/50)*DisplayMarker)</f>
        <v/>
      </c>
      <c r="C144" s="10"/>
      <c r="D144" s="16" t="s">
        <v>130</v>
      </c>
      <c r="E144" s="16"/>
      <c r="F144" s="17"/>
    </row>
    <row r="145" spans="1:6" x14ac:dyDescent="0.3">
      <c r="A145" s="25"/>
      <c r="B145" s="5" t="str" cm="1">
        <f t="array" ref="B145">_xlfn.IFS($A145="","",$A145=0,0,TRUE,($A145/50)*DisplayMarker)</f>
        <v/>
      </c>
      <c r="C145" s="5"/>
      <c r="D145" s="10"/>
      <c r="E145" s="16" t="s">
        <v>40</v>
      </c>
      <c r="F145" s="17"/>
    </row>
    <row r="146" spans="1:6" x14ac:dyDescent="0.3">
      <c r="A146" s="25"/>
      <c r="B146" s="5" t="str" cm="1">
        <f t="array" ref="B146">_xlfn.IFS($A146="","",$A146=0,0,TRUE,($A146/50)*DisplayMarker)</f>
        <v/>
      </c>
      <c r="C146" s="5"/>
      <c r="D146" s="11"/>
      <c r="E146" s="10"/>
      <c r="F146" s="13" t="s">
        <v>131</v>
      </c>
    </row>
    <row r="147" spans="1:6" x14ac:dyDescent="0.3">
      <c r="A147" s="25"/>
      <c r="B147" s="5" t="str" cm="1">
        <f t="array" ref="B147">_xlfn.IFS($A147="","",$A147=0,0,TRUE,($A147/50)*DisplayMarker)</f>
        <v/>
      </c>
      <c r="C147" s="5"/>
      <c r="D147" s="11"/>
      <c r="E147" s="10"/>
      <c r="F147" s="13" t="s">
        <v>132</v>
      </c>
    </row>
    <row r="148" spans="1:6" x14ac:dyDescent="0.3">
      <c r="A148" s="28"/>
      <c r="B148" s="29" t="str" cm="1">
        <f t="array" ref="B148">_xlfn.IFS($A148="","",$A148=0,0,TRUE,($A148/50)*DisplayMarker)</f>
        <v/>
      </c>
      <c r="C148" s="29"/>
      <c r="D148" s="30"/>
      <c r="E148" s="31" t="s">
        <v>133</v>
      </c>
      <c r="F148" s="32"/>
    </row>
    <row r="149" spans="1:6" x14ac:dyDescent="0.3">
      <c r="A149" s="25"/>
      <c r="B149" s="5" t="str" cm="1">
        <f t="array" ref="B149">_xlfn.IFS($A149="","",$A149=0,0,TRUE,($A149/50)*DisplayMarker)</f>
        <v/>
      </c>
      <c r="C149" s="27"/>
      <c r="D149" s="16" t="s">
        <v>134</v>
      </c>
      <c r="E149" s="16"/>
      <c r="F149" s="17"/>
    </row>
    <row r="150" spans="1:6" x14ac:dyDescent="0.3">
      <c r="A150" s="25"/>
      <c r="B150" s="5" t="str" cm="1">
        <f t="array" ref="B150">_xlfn.IFS($A150="","",$A150=0,0,TRUE,($A150/50)*DisplayMarker)</f>
        <v/>
      </c>
      <c r="C150" s="5"/>
      <c r="D150" s="10"/>
      <c r="E150" s="16" t="s">
        <v>135</v>
      </c>
      <c r="F150" s="17"/>
    </row>
    <row r="151" spans="1:6" x14ac:dyDescent="0.3">
      <c r="A151" s="28"/>
      <c r="B151" s="29" t="str" cm="1">
        <f t="array" ref="B151">_xlfn.IFS($A151="","",$A151=0,0,TRUE,($A151/50)*DisplayMarker)</f>
        <v/>
      </c>
      <c r="C151" s="29"/>
      <c r="D151" s="48"/>
      <c r="E151" s="31" t="s">
        <v>136</v>
      </c>
      <c r="F151" s="32"/>
    </row>
    <row r="152" spans="1:6" x14ac:dyDescent="0.3">
      <c r="A152" s="25"/>
      <c r="B152" s="5" t="str" cm="1">
        <f t="array" ref="B152">_xlfn.IFS($A152="","",$A152=0,0,TRUE,($A152/50)*DisplayMarker)</f>
        <v/>
      </c>
      <c r="C152" s="27"/>
      <c r="D152" s="16" t="s">
        <v>137</v>
      </c>
      <c r="E152" s="16"/>
      <c r="F152" s="17"/>
    </row>
    <row r="153" spans="1:6" x14ac:dyDescent="0.3">
      <c r="A153" s="25"/>
      <c r="B153" s="5" t="str" cm="1">
        <f t="array" ref="B153">_xlfn.IFS($A153="","",$A153=0,0,TRUE,($A153/50)*DisplayMarker)</f>
        <v/>
      </c>
      <c r="C153" s="5"/>
      <c r="D153" s="10"/>
      <c r="E153" s="16" t="s">
        <v>40</v>
      </c>
      <c r="F153" s="17"/>
    </row>
    <row r="154" spans="1:6" x14ac:dyDescent="0.3">
      <c r="A154" s="25"/>
      <c r="B154" s="5" t="str" cm="1">
        <f t="array" ref="B154">_xlfn.IFS($A154="","",$A154=0,0,TRUE,($A154/50)*DisplayMarker)</f>
        <v/>
      </c>
      <c r="C154" s="5"/>
      <c r="D154" s="11"/>
      <c r="E154" s="10"/>
      <c r="F154" s="13" t="s">
        <v>138</v>
      </c>
    </row>
    <row r="155" spans="1:6" x14ac:dyDescent="0.3">
      <c r="A155" s="25"/>
      <c r="B155" s="5" t="str" cm="1">
        <f t="array" ref="B155">_xlfn.IFS($A155="","",$A155=0,0,TRUE,($A155/50)*DisplayMarker)</f>
        <v/>
      </c>
      <c r="C155" s="5"/>
      <c r="D155" s="11"/>
      <c r="E155" s="10"/>
      <c r="F155" s="13" t="s">
        <v>139</v>
      </c>
    </row>
    <row r="156" spans="1:6" x14ac:dyDescent="0.3">
      <c r="A156" s="25"/>
      <c r="B156" s="5" t="str" cm="1">
        <f t="array" ref="B156">_xlfn.IFS($A156="","",$A156=0,0,TRUE,($A156/50)*DisplayMarker)</f>
        <v/>
      </c>
      <c r="C156" s="5"/>
      <c r="D156" s="11"/>
      <c r="E156" s="10"/>
      <c r="F156" s="13" t="s">
        <v>140</v>
      </c>
    </row>
    <row r="157" spans="1:6" ht="15" thickBot="1" x14ac:dyDescent="0.35">
      <c r="A157" s="35"/>
      <c r="B157" s="36" t="str" cm="1">
        <f t="array" ref="B157">_xlfn.IFS($A157="","",$A157=0,0,TRUE,($A157/50)*DisplayMarker)</f>
        <v/>
      </c>
      <c r="C157" s="36"/>
      <c r="D157" s="39"/>
      <c r="E157" s="37" t="s">
        <v>141</v>
      </c>
      <c r="F157" s="38"/>
    </row>
    <row r="158" spans="1:6" x14ac:dyDescent="0.3">
      <c r="A158" s="25">
        <v>350</v>
      </c>
      <c r="B158" s="5" cm="1">
        <f t="array" ref="B158">_xlfn.IFS($A158="","",$A158=0,0,TRUE,($A158/50)*DisplayMarker)</f>
        <v>1050</v>
      </c>
      <c r="C158" s="27"/>
      <c r="D158" s="16" t="s">
        <v>142</v>
      </c>
      <c r="E158" s="16"/>
      <c r="F158" s="17"/>
    </row>
    <row r="159" spans="1:6" x14ac:dyDescent="0.3">
      <c r="A159" s="25"/>
      <c r="B159" s="5" t="str" cm="1">
        <f t="array" ref="B159">_xlfn.IFS($A159="","",$A159=0,0,TRUE,($A159/50)*DisplayMarker)</f>
        <v/>
      </c>
      <c r="C159" s="10"/>
      <c r="D159" s="16" t="s">
        <v>143</v>
      </c>
      <c r="E159" s="16"/>
      <c r="F159" s="17"/>
    </row>
    <row r="160" spans="1:6" x14ac:dyDescent="0.3">
      <c r="A160" s="25"/>
      <c r="B160" s="5" t="str" cm="1">
        <f t="array" ref="B160">_xlfn.IFS($A160="","",$A160=0,0,TRUE,($A160/50)*DisplayMarker)</f>
        <v/>
      </c>
      <c r="C160" s="5"/>
      <c r="D160" s="10"/>
      <c r="E160" s="16" t="s">
        <v>144</v>
      </c>
      <c r="F160" s="17"/>
    </row>
    <row r="161" spans="1:6" ht="15" thickBot="1" x14ac:dyDescent="0.35">
      <c r="A161" s="35"/>
      <c r="B161" s="36" t="str" cm="1">
        <f t="array" ref="B161">_xlfn.IFS($A161="","",$A161=0,0,TRUE,($A161/50)*DisplayMarker)</f>
        <v/>
      </c>
      <c r="C161" s="36"/>
      <c r="D161" s="50"/>
      <c r="E161" s="37" t="s">
        <v>145</v>
      </c>
      <c r="F161" s="38"/>
    </row>
    <row r="162" spans="1:6" x14ac:dyDescent="0.3">
      <c r="A162" s="25">
        <v>400</v>
      </c>
      <c r="B162" s="5" cm="1">
        <f t="array" ref="B162">_xlfn.IFS($A162="","",$A162=0,0,TRUE,($A162/50)*DisplayMarker)</f>
        <v>1200</v>
      </c>
      <c r="C162" s="27"/>
      <c r="D162" s="16" t="s">
        <v>146</v>
      </c>
      <c r="E162" s="16"/>
      <c r="F162" s="17"/>
    </row>
    <row r="163" spans="1:6" x14ac:dyDescent="0.3">
      <c r="A163" s="25"/>
      <c r="B163" s="5" t="str" cm="1">
        <f t="array" ref="B163">_xlfn.IFS($A163="","",$A163=0,0,TRUE,($A163/50)*DisplayMarker)</f>
        <v/>
      </c>
      <c r="C163" s="10"/>
      <c r="D163" s="16" t="s">
        <v>147</v>
      </c>
      <c r="E163" s="16"/>
      <c r="F163" s="17"/>
    </row>
    <row r="164" spans="1:6" x14ac:dyDescent="0.3">
      <c r="A164" s="25"/>
      <c r="B164" s="5" t="str" cm="1">
        <f t="array" ref="B164">_xlfn.IFS($A164="","",$A164=0,0,TRUE,($A164/50)*DisplayMarker)</f>
        <v/>
      </c>
      <c r="C164" s="5"/>
      <c r="D164" s="10"/>
      <c r="E164" s="16" t="s">
        <v>40</v>
      </c>
      <c r="F164" s="17"/>
    </row>
    <row r="165" spans="1:6" x14ac:dyDescent="0.3">
      <c r="A165" s="25"/>
      <c r="B165" s="5" t="str" cm="1">
        <f t="array" ref="B165">_xlfn.IFS($A165="","",$A165=0,0,TRUE,($A165/50)*DisplayMarker)</f>
        <v/>
      </c>
      <c r="C165" s="5"/>
      <c r="D165" s="11"/>
      <c r="E165" s="10"/>
      <c r="F165" s="13" t="s">
        <v>43</v>
      </c>
    </row>
    <row r="166" spans="1:6" x14ac:dyDescent="0.3">
      <c r="A166" s="25"/>
      <c r="B166" s="5" t="str" cm="1">
        <f t="array" ref="B166">_xlfn.IFS($A166="","",$A166=0,0,TRUE,($A166/50)*DisplayMarker)</f>
        <v/>
      </c>
      <c r="C166" s="5"/>
      <c r="D166" s="11"/>
      <c r="E166" s="10"/>
      <c r="F166" s="13" t="s">
        <v>148</v>
      </c>
    </row>
    <row r="167" spans="1:6" x14ac:dyDescent="0.3">
      <c r="A167" s="25"/>
      <c r="B167" s="5" t="str" cm="1">
        <f t="array" ref="B167">_xlfn.IFS($A167="","",$A167=0,0,TRUE,($A167/50)*DisplayMarker)</f>
        <v/>
      </c>
      <c r="C167" s="5"/>
      <c r="D167" s="10"/>
      <c r="E167" s="16" t="s">
        <v>149</v>
      </c>
      <c r="F167" s="17"/>
    </row>
    <row r="168" spans="1:6" x14ac:dyDescent="0.3">
      <c r="A168" s="28"/>
      <c r="B168" s="29" t="str" cm="1">
        <f t="array" ref="B168">_xlfn.IFS($A168="","",$A168=0,0,TRUE,($A168/50)*DisplayMarker)</f>
        <v/>
      </c>
      <c r="C168" s="29"/>
      <c r="D168" s="48"/>
      <c r="E168" s="31" t="s">
        <v>150</v>
      </c>
      <c r="F168" s="32"/>
    </row>
    <row r="169" spans="1:6" x14ac:dyDescent="0.3">
      <c r="A169" s="25"/>
      <c r="B169" s="5" t="str" cm="1">
        <f t="array" ref="B169">_xlfn.IFS($A169="","",$A169=0,0,TRUE,($A169/50)*DisplayMarker)</f>
        <v/>
      </c>
      <c r="C169" s="27"/>
      <c r="D169" s="16" t="s">
        <v>151</v>
      </c>
      <c r="E169" s="16"/>
      <c r="F169" s="17"/>
    </row>
    <row r="170" spans="1:6" x14ac:dyDescent="0.3">
      <c r="A170" s="25"/>
      <c r="B170" s="5" t="str" cm="1">
        <f t="array" ref="B170">_xlfn.IFS($A170="","",$A170=0,0,TRUE,($A170/50)*DisplayMarker)</f>
        <v/>
      </c>
      <c r="C170" s="5"/>
      <c r="D170" s="10"/>
      <c r="E170" s="16" t="s">
        <v>40</v>
      </c>
      <c r="F170" s="17"/>
    </row>
    <row r="171" spans="1:6" x14ac:dyDescent="0.3">
      <c r="A171" s="25"/>
      <c r="B171" s="5" t="str" cm="1">
        <f t="array" ref="B171">_xlfn.IFS($A171="","",$A171=0,0,TRUE,($A171/50)*DisplayMarker)</f>
        <v/>
      </c>
      <c r="C171" s="5"/>
      <c r="D171" s="11"/>
      <c r="E171" s="10"/>
      <c r="F171" s="13" t="s">
        <v>152</v>
      </c>
    </row>
    <row r="172" spans="1:6" x14ac:dyDescent="0.3">
      <c r="A172" s="25"/>
      <c r="B172" s="5" t="str" cm="1">
        <f t="array" ref="B172">_xlfn.IFS($A172="","",$A172=0,0,TRUE,($A172/50)*DisplayMarker)</f>
        <v/>
      </c>
      <c r="C172" s="5"/>
      <c r="D172" s="11"/>
      <c r="E172" s="10"/>
      <c r="F172" s="13" t="s">
        <v>101</v>
      </c>
    </row>
    <row r="173" spans="1:6" x14ac:dyDescent="0.3">
      <c r="A173" s="28"/>
      <c r="B173" s="29" t="str" cm="1">
        <f t="array" ref="B173">_xlfn.IFS($A173="","",$A173=0,0,TRUE,($A173/50)*DisplayMarker)</f>
        <v/>
      </c>
      <c r="C173" s="29"/>
      <c r="D173" s="30"/>
      <c r="E173" s="31" t="s">
        <v>206</v>
      </c>
      <c r="F173" s="32"/>
    </row>
    <row r="174" spans="1:6" x14ac:dyDescent="0.3">
      <c r="A174" s="25"/>
      <c r="B174" s="5" t="str" cm="1">
        <f t="array" ref="B174">_xlfn.IFS($A174="","",$A174=0,0,TRUE,($A174/50)*DisplayMarker)</f>
        <v/>
      </c>
      <c r="C174" s="27"/>
      <c r="D174" s="16" t="s">
        <v>153</v>
      </c>
      <c r="E174" s="16"/>
      <c r="F174" s="17"/>
    </row>
    <row r="175" spans="1:6" ht="15" thickBot="1" x14ac:dyDescent="0.35">
      <c r="A175" s="35"/>
      <c r="B175" s="36" t="str" cm="1">
        <f t="array" ref="B175">_xlfn.IFS($A175="","",$A175=0,0,TRUE,($A175/50)*DisplayMarker)</f>
        <v/>
      </c>
      <c r="C175" s="36"/>
      <c r="D175" s="39"/>
      <c r="E175" s="37" t="s">
        <v>154</v>
      </c>
      <c r="F175" s="38"/>
    </row>
    <row r="176" spans="1:6" x14ac:dyDescent="0.3">
      <c r="A176" s="25">
        <v>450</v>
      </c>
      <c r="B176" s="5" cm="1">
        <f t="array" ref="B176">_xlfn.IFS($A176="","",$A176=0,0,TRUE,($A176/50)*DisplayMarker)</f>
        <v>1350</v>
      </c>
      <c r="C176" s="27"/>
      <c r="D176" s="16" t="s">
        <v>155</v>
      </c>
      <c r="E176" s="16"/>
      <c r="F176" s="17"/>
    </row>
    <row r="177" spans="1:6" x14ac:dyDescent="0.3">
      <c r="A177" s="25"/>
      <c r="B177" s="5" t="str" cm="1">
        <f t="array" ref="B177">_xlfn.IFS($A177="","",$A177=0,0,TRUE,($A177/50)*DisplayMarker)</f>
        <v/>
      </c>
      <c r="C177" s="10"/>
      <c r="D177" s="16" t="s">
        <v>156</v>
      </c>
      <c r="E177" s="16"/>
      <c r="F177" s="17"/>
    </row>
    <row r="178" spans="1:6" x14ac:dyDescent="0.3">
      <c r="A178" s="25"/>
      <c r="B178" s="5" t="str" cm="1">
        <f t="array" ref="B178">_xlfn.IFS($A178="","",$A178=0,0,TRUE,($A178/50)*DisplayMarker)</f>
        <v/>
      </c>
      <c r="C178" s="5"/>
      <c r="D178" s="10"/>
      <c r="E178" s="16" t="s">
        <v>40</v>
      </c>
      <c r="F178" s="17"/>
    </row>
    <row r="179" spans="1:6" x14ac:dyDescent="0.3">
      <c r="A179" s="25"/>
      <c r="B179" s="5" t="str" cm="1">
        <f t="array" ref="B179">_xlfn.IFS($A179="","",$A179=0,0,TRUE,($A179/50)*DisplayMarker)</f>
        <v/>
      </c>
      <c r="C179" s="5"/>
      <c r="D179" s="11"/>
      <c r="E179" s="10"/>
      <c r="F179" s="13" t="s">
        <v>157</v>
      </c>
    </row>
    <row r="180" spans="1:6" x14ac:dyDescent="0.3">
      <c r="A180" s="25"/>
      <c r="B180" s="5" t="str" cm="1">
        <f t="array" ref="B180">_xlfn.IFS($A180="","",$A180=0,0,TRUE,($A180/50)*DisplayMarker)</f>
        <v/>
      </c>
      <c r="C180" s="5"/>
      <c r="D180" s="11"/>
      <c r="E180" s="10"/>
      <c r="F180" s="13" t="s">
        <v>101</v>
      </c>
    </row>
    <row r="181" spans="1:6" x14ac:dyDescent="0.3">
      <c r="A181" s="25"/>
      <c r="B181" s="5" t="str" cm="1">
        <f t="array" ref="B181">_xlfn.IFS($A181="","",$A181=0,0,TRUE,($A181/50)*DisplayMarker)</f>
        <v/>
      </c>
      <c r="C181" s="5"/>
      <c r="D181" s="11"/>
      <c r="E181" s="10"/>
      <c r="F181" s="13" t="s">
        <v>152</v>
      </c>
    </row>
    <row r="182" spans="1:6" x14ac:dyDescent="0.3">
      <c r="A182" s="28"/>
      <c r="B182" s="29" t="str" cm="1">
        <f t="array" ref="B182">_xlfn.IFS($A182="","",$A182=0,0,TRUE,($A182/50)*DisplayMarker)</f>
        <v/>
      </c>
      <c r="C182" s="29"/>
      <c r="D182" s="30"/>
      <c r="E182" s="31" t="s">
        <v>110</v>
      </c>
      <c r="F182" s="32"/>
    </row>
    <row r="183" spans="1:6" x14ac:dyDescent="0.3">
      <c r="A183" s="25"/>
      <c r="B183" s="5" t="str" cm="1">
        <f t="array" ref="B183">_xlfn.IFS($A183="","",$A183=0,0,TRUE,($A183/50)*DisplayMarker)</f>
        <v/>
      </c>
      <c r="C183" s="27"/>
      <c r="D183" s="16" t="s">
        <v>158</v>
      </c>
      <c r="E183" s="16"/>
      <c r="F183" s="17"/>
    </row>
    <row r="184" spans="1:6" ht="15" thickBot="1" x14ac:dyDescent="0.35">
      <c r="A184" s="35"/>
      <c r="B184" s="36" t="str" cm="1">
        <f t="array" ref="B184">_xlfn.IFS($A184="","",$A184=0,0,TRUE,($A184/50)*DisplayMarker)</f>
        <v/>
      </c>
      <c r="C184" s="36"/>
      <c r="D184" s="39"/>
      <c r="E184" s="37" t="s">
        <v>159</v>
      </c>
      <c r="F184" s="38"/>
    </row>
    <row r="185" spans="1:6" ht="15" thickBot="1" x14ac:dyDescent="0.35">
      <c r="A185" s="41">
        <v>500</v>
      </c>
      <c r="B185" s="42" cm="1">
        <f t="array" ref="B185">_xlfn.IFS($A185="","",$A185=0,0,TRUE,($A185/50)*DisplayMarker)</f>
        <v>1500</v>
      </c>
      <c r="C185" s="43"/>
      <c r="D185" s="44" t="s">
        <v>160</v>
      </c>
      <c r="E185" s="44"/>
      <c r="F185" s="45"/>
    </row>
    <row r="186" spans="1:6" x14ac:dyDescent="0.3">
      <c r="A186" s="25">
        <v>550</v>
      </c>
      <c r="B186" s="5" cm="1">
        <f t="array" ref="B186">_xlfn.IFS($A186="","",$A186=0,0,TRUE,($A186/50)*DisplayMarker)</f>
        <v>1650</v>
      </c>
      <c r="C186" s="27"/>
      <c r="D186" s="16" t="s">
        <v>172</v>
      </c>
      <c r="E186" s="16"/>
      <c r="F186" s="17"/>
    </row>
    <row r="187" spans="1:6" x14ac:dyDescent="0.3">
      <c r="A187" s="25"/>
      <c r="B187" s="5" t="str" cm="1">
        <f t="array" ref="B187">_xlfn.IFS($A187="","",$A187=0,0,TRUE,($A187/50)*DisplayMarker)</f>
        <v/>
      </c>
      <c r="C187" s="10"/>
      <c r="D187" s="16" t="s">
        <v>173</v>
      </c>
      <c r="E187" s="16"/>
      <c r="F187" s="17"/>
    </row>
    <row r="188" spans="1:6" x14ac:dyDescent="0.3">
      <c r="A188" s="25"/>
      <c r="B188" s="5" t="str" cm="1">
        <f t="array" ref="B188">_xlfn.IFS($A188="","",$A188=0,0,TRUE,($A188/50)*DisplayMarker)</f>
        <v/>
      </c>
      <c r="C188" s="5"/>
      <c r="D188" s="10"/>
      <c r="E188" s="16" t="s">
        <v>40</v>
      </c>
      <c r="F188" s="17"/>
    </row>
    <row r="189" spans="1:6" x14ac:dyDescent="0.3">
      <c r="A189" s="25"/>
      <c r="B189" s="5" t="str" cm="1">
        <f t="array" ref="B189">_xlfn.IFS($A189="","",$A189=0,0,TRUE,($A189/50)*DisplayMarker)</f>
        <v/>
      </c>
      <c r="C189" s="5"/>
      <c r="D189" s="11"/>
      <c r="E189" s="10"/>
      <c r="F189" s="13" t="s">
        <v>174</v>
      </c>
    </row>
    <row r="190" spans="1:6" x14ac:dyDescent="0.3">
      <c r="A190" s="25"/>
      <c r="B190" s="5" t="str" cm="1">
        <f t="array" ref="B190">_xlfn.IFS($A190="","",$A190=0,0,TRUE,($A190/50)*DisplayMarker)</f>
        <v/>
      </c>
      <c r="C190" s="5"/>
      <c r="D190" s="11"/>
      <c r="E190" s="10"/>
      <c r="F190" s="13" t="s">
        <v>152</v>
      </c>
    </row>
    <row r="191" spans="1:6" x14ac:dyDescent="0.3">
      <c r="A191" s="25"/>
      <c r="B191" s="5" t="str" cm="1">
        <f t="array" ref="B191">_xlfn.IFS($A191="","",$A191=0,0,TRUE,($A191/50)*DisplayMarker)</f>
        <v/>
      </c>
      <c r="C191" s="5"/>
      <c r="D191" s="11"/>
      <c r="E191" s="10"/>
      <c r="F191" s="13" t="s">
        <v>175</v>
      </c>
    </row>
    <row r="192" spans="1:6" x14ac:dyDescent="0.3">
      <c r="A192" s="28"/>
      <c r="B192" s="29" t="str" cm="1">
        <f t="array" ref="B192">_xlfn.IFS($A192="","",$A192=0,0,TRUE,($A192/50)*DisplayMarker)</f>
        <v/>
      </c>
      <c r="C192" s="29"/>
      <c r="D192" s="30"/>
      <c r="E192" s="31" t="s">
        <v>176</v>
      </c>
      <c r="F192" s="32"/>
    </row>
    <row r="193" spans="1:6" x14ac:dyDescent="0.3">
      <c r="A193" s="25"/>
      <c r="B193" s="5" t="str" cm="1">
        <f t="array" ref="B193">_xlfn.IFS($A193="","",$A193=0,0,TRUE,($A193/50)*DisplayMarker)</f>
        <v/>
      </c>
      <c r="C193" s="27"/>
      <c r="D193" s="16" t="s">
        <v>177</v>
      </c>
      <c r="E193" s="16"/>
      <c r="F193" s="17"/>
    </row>
    <row r="194" spans="1:6" x14ac:dyDescent="0.3">
      <c r="A194" s="25"/>
      <c r="B194" s="5" t="str" cm="1">
        <f t="array" ref="B194">_xlfn.IFS($A194="","",$A194=0,0,TRUE,($A194/50)*DisplayMarker)</f>
        <v/>
      </c>
      <c r="C194" s="5"/>
      <c r="D194" s="10"/>
      <c r="E194" s="16" t="s">
        <v>178</v>
      </c>
      <c r="F194" s="17"/>
    </row>
    <row r="195" spans="1:6" x14ac:dyDescent="0.3">
      <c r="A195" s="28"/>
      <c r="B195" s="29" t="str" cm="1">
        <f t="array" ref="B195">_xlfn.IFS($A195="","",$A195=0,0,TRUE,($A195/50)*DisplayMarker)</f>
        <v/>
      </c>
      <c r="C195" s="29"/>
      <c r="D195" s="30"/>
      <c r="E195" s="31" t="s">
        <v>179</v>
      </c>
      <c r="F195" s="32"/>
    </row>
    <row r="196" spans="1:6" x14ac:dyDescent="0.3">
      <c r="A196" s="25"/>
      <c r="B196" s="5" t="str" cm="1">
        <f t="array" ref="B196">_xlfn.IFS($A196="","",$A196=0,0,TRUE,($A196/50)*DisplayMarker)</f>
        <v/>
      </c>
      <c r="C196" s="27"/>
      <c r="D196" s="16" t="s">
        <v>180</v>
      </c>
      <c r="E196" s="16"/>
      <c r="F196" s="17"/>
    </row>
    <row r="197" spans="1:6" x14ac:dyDescent="0.3">
      <c r="A197" s="25"/>
      <c r="B197" s="5" t="str" cm="1">
        <f t="array" ref="B197">_xlfn.IFS($A197="","",$A197=0,0,TRUE,($A197/50)*DisplayMarker)</f>
        <v/>
      </c>
      <c r="C197" s="5"/>
      <c r="D197" s="10"/>
      <c r="E197" s="16" t="s">
        <v>40</v>
      </c>
      <c r="F197" s="17"/>
    </row>
    <row r="198" spans="1:6" x14ac:dyDescent="0.3">
      <c r="A198" s="25"/>
      <c r="B198" s="5" t="str" cm="1">
        <f t="array" ref="B198">_xlfn.IFS($A198="","",$A198=0,0,TRUE,($A198/50)*DisplayMarker)</f>
        <v/>
      </c>
      <c r="C198" s="5"/>
      <c r="D198" s="11"/>
      <c r="E198" s="10"/>
      <c r="F198" s="13" t="s">
        <v>181</v>
      </c>
    </row>
    <row r="199" spans="1:6" x14ac:dyDescent="0.3">
      <c r="A199" s="25"/>
      <c r="B199" s="5" t="str" cm="1">
        <f t="array" ref="B199">_xlfn.IFS($A199="","",$A199=0,0,TRUE,($A199/50)*DisplayMarker)</f>
        <v/>
      </c>
      <c r="C199" s="5"/>
      <c r="D199" s="11"/>
      <c r="E199" s="10"/>
      <c r="F199" s="13" t="s">
        <v>182</v>
      </c>
    </row>
    <row r="200" spans="1:6" x14ac:dyDescent="0.3">
      <c r="A200" s="25"/>
      <c r="B200" s="5" t="str" cm="1">
        <f t="array" ref="B200">_xlfn.IFS($A200="","",$A200=0,0,TRUE,($A200/50)*DisplayMarker)</f>
        <v/>
      </c>
      <c r="C200" s="5"/>
      <c r="D200" s="11"/>
      <c r="E200" s="10"/>
      <c r="F200" s="13" t="s">
        <v>43</v>
      </c>
    </row>
    <row r="201" spans="1:6" x14ac:dyDescent="0.3">
      <c r="A201" s="25"/>
      <c r="B201" s="5" t="str" cm="1">
        <f t="array" ref="B201">_xlfn.IFS($A201="","",$A201=0,0,TRUE,($A201/50)*DisplayMarker)</f>
        <v/>
      </c>
      <c r="C201" s="5"/>
      <c r="D201" s="11"/>
      <c r="E201" s="10"/>
      <c r="F201" s="13" t="s">
        <v>44</v>
      </c>
    </row>
    <row r="202" spans="1:6" x14ac:dyDescent="0.3">
      <c r="A202" s="25"/>
      <c r="B202" s="5" t="str" cm="1">
        <f t="array" ref="B202">_xlfn.IFS($A202="","",$A202=0,0,TRUE,($A202/50)*DisplayMarker)</f>
        <v/>
      </c>
      <c r="C202" s="5"/>
      <c r="D202" s="11"/>
      <c r="E202" s="10"/>
      <c r="F202" s="13" t="s">
        <v>183</v>
      </c>
    </row>
    <row r="203" spans="1:6" x14ac:dyDescent="0.3">
      <c r="A203" s="25"/>
      <c r="B203" s="5" t="str" cm="1">
        <f t="array" ref="B203">_xlfn.IFS($A203="","",$A203=0,0,TRUE,($A203/50)*DisplayMarker)</f>
        <v/>
      </c>
      <c r="C203" s="5"/>
      <c r="D203" s="11"/>
      <c r="E203" s="10"/>
      <c r="F203" s="13" t="s">
        <v>184</v>
      </c>
    </row>
    <row r="204" spans="1:6" x14ac:dyDescent="0.3">
      <c r="A204" s="25"/>
      <c r="B204" s="5" t="str" cm="1">
        <f t="array" ref="B204">_xlfn.IFS($A204="","",$A204=0,0,TRUE,($A204/50)*DisplayMarker)</f>
        <v/>
      </c>
      <c r="C204" s="5"/>
      <c r="D204" s="11"/>
      <c r="E204" s="10"/>
      <c r="F204" s="13" t="s">
        <v>185</v>
      </c>
    </row>
    <row r="205" spans="1:6" x14ac:dyDescent="0.3">
      <c r="A205" s="25"/>
      <c r="B205" s="5" t="str" cm="1">
        <f t="array" ref="B205">_xlfn.IFS($A205="","",$A205=0,0,TRUE,($A205/50)*DisplayMarker)</f>
        <v/>
      </c>
      <c r="C205" s="5"/>
      <c r="D205" s="11"/>
      <c r="E205" s="10"/>
      <c r="F205" s="13" t="s">
        <v>45</v>
      </c>
    </row>
    <row r="206" spans="1:6" x14ac:dyDescent="0.3">
      <c r="A206" s="25"/>
      <c r="B206" s="5" t="str" cm="1">
        <f t="array" ref="B206">_xlfn.IFS($A206="","",$A206=0,0,TRUE,($A206/50)*DisplayMarker)</f>
        <v/>
      </c>
      <c r="C206" s="5"/>
      <c r="D206" s="10"/>
      <c r="E206" s="16" t="s">
        <v>186</v>
      </c>
      <c r="F206" s="17"/>
    </row>
    <row r="207" spans="1:6" ht="15" thickBot="1" x14ac:dyDescent="0.35">
      <c r="A207" s="35"/>
      <c r="B207" s="36" t="str" cm="1">
        <f t="array" ref="B207">_xlfn.IFS($A207="","",$A207=0,0,TRUE,($A207/50)*DisplayMarker)</f>
        <v/>
      </c>
      <c r="C207" s="36"/>
      <c r="D207" s="50"/>
      <c r="E207" s="37" t="s">
        <v>187</v>
      </c>
      <c r="F207" s="38"/>
    </row>
    <row r="208" spans="1:6" x14ac:dyDescent="0.3">
      <c r="A208" s="25">
        <v>600</v>
      </c>
      <c r="B208" s="5" cm="1">
        <f t="array" ref="B208">_xlfn.IFS($A208="","",$A208=0,0,TRUE,($A208/50)*DisplayMarker)</f>
        <v>1800</v>
      </c>
      <c r="C208" s="27"/>
      <c r="D208" s="16" t="s">
        <v>188</v>
      </c>
      <c r="E208" s="16"/>
      <c r="F208" s="17"/>
    </row>
    <row r="209" spans="1:6" x14ac:dyDescent="0.3">
      <c r="A209" s="28"/>
      <c r="B209" s="29" t="str" cm="1">
        <f t="array" ref="B209">_xlfn.IFS($A209="","",$A209=0,0,TRUE,($A209/50)*DisplayMarker)</f>
        <v/>
      </c>
      <c r="C209" s="29"/>
      <c r="D209" s="30"/>
      <c r="E209" s="31" t="s">
        <v>189</v>
      </c>
      <c r="F209" s="32"/>
    </row>
    <row r="210" spans="1:6" x14ac:dyDescent="0.3">
      <c r="A210" s="25"/>
      <c r="B210" s="5" t="str" cm="1">
        <f t="array" ref="B210">_xlfn.IFS($A210="","",$A210=0,0,TRUE,($A210/50)*DisplayMarker)</f>
        <v/>
      </c>
      <c r="C210" s="27"/>
      <c r="D210" s="16" t="s">
        <v>165</v>
      </c>
      <c r="E210" s="16"/>
      <c r="F210" s="17"/>
    </row>
    <row r="211" spans="1:6" x14ac:dyDescent="0.3">
      <c r="A211" s="28"/>
      <c r="B211" s="29" t="str" cm="1">
        <f t="array" ref="B211">_xlfn.IFS($A211="","",$A211=0,0,TRUE,($A211/50)*DisplayMarker)</f>
        <v/>
      </c>
      <c r="C211" s="29"/>
      <c r="D211" s="30"/>
      <c r="E211" s="31" t="s">
        <v>190</v>
      </c>
      <c r="F211" s="32"/>
    </row>
    <row r="212" spans="1:6" x14ac:dyDescent="0.3">
      <c r="A212" s="25"/>
      <c r="B212" s="5" t="str" cm="1">
        <f t="array" ref="B212">_xlfn.IFS($A212="","",$A212=0,0,TRUE,($A212/50)*DisplayMarker)</f>
        <v/>
      </c>
      <c r="C212" s="27"/>
      <c r="D212" s="16" t="s">
        <v>161</v>
      </c>
      <c r="E212" s="16"/>
      <c r="F212" s="17"/>
    </row>
    <row r="213" spans="1:6" x14ac:dyDescent="0.3">
      <c r="A213" s="25"/>
      <c r="B213" s="5" t="str" cm="1">
        <f t="array" ref="B213">_xlfn.IFS($A213="","",$A213=0,0,TRUE,($A213/50)*DisplayMarker)</f>
        <v/>
      </c>
      <c r="C213" s="5"/>
      <c r="D213" s="10"/>
      <c r="E213" s="16" t="s">
        <v>40</v>
      </c>
      <c r="F213" s="17"/>
    </row>
    <row r="214" spans="1:6" x14ac:dyDescent="0.3">
      <c r="A214" s="25"/>
      <c r="B214" s="5" t="str" cm="1">
        <f t="array" ref="B214">_xlfn.IFS($A214="","",$A214=0,0,TRUE,($A214/50)*DisplayMarker)</f>
        <v/>
      </c>
      <c r="C214" s="5"/>
      <c r="D214" s="11"/>
      <c r="E214" s="10"/>
      <c r="F214" s="13" t="s">
        <v>162</v>
      </c>
    </row>
    <row r="215" spans="1:6" x14ac:dyDescent="0.3">
      <c r="A215" s="25"/>
      <c r="B215" s="5" t="str" cm="1">
        <f t="array" ref="B215">_xlfn.IFS($A215="","",$A215=0,0,TRUE,($A215/50)*DisplayMarker)</f>
        <v/>
      </c>
      <c r="C215" s="5"/>
      <c r="D215" s="11"/>
      <c r="E215" s="10"/>
      <c r="F215" s="13" t="s">
        <v>163</v>
      </c>
    </row>
    <row r="216" spans="1:6" x14ac:dyDescent="0.3">
      <c r="A216" s="25"/>
      <c r="B216" s="5" t="str" cm="1">
        <f t="array" ref="B216">_xlfn.IFS($A216="","",$A216=0,0,TRUE,($A216/50)*DisplayMarker)</f>
        <v/>
      </c>
      <c r="C216" s="5"/>
      <c r="D216" s="11"/>
      <c r="E216" s="10"/>
      <c r="F216" s="13" t="s">
        <v>81</v>
      </c>
    </row>
    <row r="217" spans="1:6" x14ac:dyDescent="0.3">
      <c r="A217" s="25"/>
      <c r="B217" s="5" t="str" cm="1">
        <f t="array" ref="B217">_xlfn.IFS($A217="","",$A217=0,0,TRUE,($A217/50)*DisplayMarker)</f>
        <v/>
      </c>
      <c r="C217" s="5"/>
      <c r="D217" s="11"/>
      <c r="E217" s="10"/>
      <c r="F217" s="13" t="s">
        <v>164</v>
      </c>
    </row>
    <row r="218" spans="1:6" x14ac:dyDescent="0.3">
      <c r="A218" s="25"/>
      <c r="B218" s="5" t="str" cm="1">
        <f t="array" ref="B218">_xlfn.IFS($A218="","",$A218=0,0,TRUE,($A218/50)*DisplayMarker)</f>
        <v/>
      </c>
      <c r="C218" s="5"/>
      <c r="D218" s="11"/>
      <c r="E218" s="10"/>
      <c r="F218" s="13" t="s">
        <v>165</v>
      </c>
    </row>
    <row r="219" spans="1:6" x14ac:dyDescent="0.3">
      <c r="A219" s="25"/>
      <c r="B219" s="5" t="str" cm="1">
        <f t="array" ref="B219">_xlfn.IFS($A219="","",$A219=0,0,TRUE,($A219/50)*DisplayMarker)</f>
        <v/>
      </c>
      <c r="C219" s="5"/>
      <c r="D219" s="11"/>
      <c r="E219" s="10"/>
      <c r="F219" s="13" t="s">
        <v>132</v>
      </c>
    </row>
    <row r="220" spans="1:6" x14ac:dyDescent="0.3">
      <c r="A220" s="25"/>
      <c r="B220" s="5" t="str" cm="1">
        <f t="array" ref="B220">_xlfn.IFS($A220="","",$A220=0,0,TRUE,($A220/50)*DisplayMarker)</f>
        <v/>
      </c>
      <c r="C220" s="5"/>
      <c r="D220" s="11"/>
      <c r="E220" s="10"/>
      <c r="F220" s="13" t="s">
        <v>166</v>
      </c>
    </row>
    <row r="221" spans="1:6" x14ac:dyDescent="0.3">
      <c r="A221" s="25"/>
      <c r="B221" s="5" t="str" cm="1">
        <f t="array" ref="B221">_xlfn.IFS($A221="","",$A221=0,0,TRUE,($A221/50)*DisplayMarker)</f>
        <v/>
      </c>
      <c r="C221" s="5"/>
      <c r="D221" s="11"/>
      <c r="E221" s="10"/>
      <c r="F221" s="13" t="s">
        <v>151</v>
      </c>
    </row>
    <row r="222" spans="1:6" x14ac:dyDescent="0.3">
      <c r="A222" s="25"/>
      <c r="B222" s="5" t="str" cm="1">
        <f t="array" ref="B222">_xlfn.IFS($A222="","",$A222=0,0,TRUE,($A222/50)*DisplayMarker)</f>
        <v/>
      </c>
      <c r="C222" s="5"/>
      <c r="D222" s="11"/>
      <c r="E222" s="10"/>
      <c r="F222" s="13" t="s">
        <v>167</v>
      </c>
    </row>
    <row r="223" spans="1:6" x14ac:dyDescent="0.3">
      <c r="A223" s="28"/>
      <c r="B223" s="29" t="str" cm="1">
        <f t="array" ref="B223">_xlfn.IFS($A223="","",$A223=0,0,TRUE,($A223/50)*DisplayMarker)</f>
        <v/>
      </c>
      <c r="C223" s="29"/>
      <c r="D223" s="30"/>
      <c r="E223" s="31" t="s">
        <v>168</v>
      </c>
      <c r="F223" s="32"/>
    </row>
    <row r="224" spans="1:6" x14ac:dyDescent="0.3">
      <c r="A224" s="25"/>
      <c r="B224" s="5" t="str" cm="1">
        <f t="array" ref="B224">_xlfn.IFS($A224="","",$A224=0,0,TRUE,($A224/50)*DisplayMarker)</f>
        <v/>
      </c>
      <c r="C224" s="27"/>
      <c r="D224" s="16" t="s">
        <v>169</v>
      </c>
      <c r="E224" s="16"/>
      <c r="F224" s="17"/>
    </row>
    <row r="225" spans="1:6" x14ac:dyDescent="0.3">
      <c r="A225" s="25"/>
      <c r="B225" s="5" t="str" cm="1">
        <f t="array" ref="B225">_xlfn.IFS($A225="","",$A225=0,0,TRUE,($A225/50)*DisplayMarker)</f>
        <v/>
      </c>
      <c r="C225" s="5"/>
      <c r="D225" s="10"/>
      <c r="E225" s="16" t="s">
        <v>170</v>
      </c>
      <c r="F225" s="17"/>
    </row>
    <row r="226" spans="1:6" ht="15" thickBot="1" x14ac:dyDescent="0.35">
      <c r="A226" s="35"/>
      <c r="B226" s="36" t="str" cm="1">
        <f t="array" ref="B226">_xlfn.IFS($A226="","",$A226=0,0,TRUE,($A226/50)*DisplayMarker)</f>
        <v/>
      </c>
      <c r="C226" s="36"/>
      <c r="D226" s="39"/>
      <c r="E226" s="37" t="s">
        <v>171</v>
      </c>
      <c r="F226" s="38"/>
    </row>
    <row r="227" spans="1:6" ht="15" thickBot="1" x14ac:dyDescent="0.35">
      <c r="A227" s="41">
        <v>650</v>
      </c>
      <c r="B227" s="42" cm="1">
        <f t="array" ref="B227">_xlfn.IFS($A227="","",$A227=0,0,TRUE,($A227/50)*DisplayMarker)</f>
        <v>1950</v>
      </c>
      <c r="C227" s="42"/>
      <c r="D227" s="42"/>
      <c r="E227" s="46"/>
      <c r="F227" s="47"/>
    </row>
    <row r="228" spans="1:6" ht="15" thickBot="1" x14ac:dyDescent="0.35">
      <c r="A228" s="41">
        <v>700</v>
      </c>
      <c r="B228" s="42" cm="1">
        <f t="array" ref="B228">_xlfn.IFS($A228="","",$A228=0,0,TRUE,($A228/50)*DisplayMarker)</f>
        <v>2100</v>
      </c>
      <c r="C228" s="42"/>
      <c r="D228" s="42"/>
      <c r="E228" s="46"/>
      <c r="F228" s="47"/>
    </row>
    <row r="229" spans="1:6" x14ac:dyDescent="0.3">
      <c r="A229" s="25">
        <v>750</v>
      </c>
      <c r="B229" s="5" cm="1">
        <f t="array" ref="B229">_xlfn.IFS($A229="","",$A229=0,0,TRUE,($A229/50)*DisplayMarker)</f>
        <v>2250</v>
      </c>
      <c r="C229" s="27"/>
      <c r="D229" s="16" t="s">
        <v>191</v>
      </c>
      <c r="E229" s="16"/>
      <c r="F229" s="17"/>
    </row>
    <row r="230" spans="1:6" x14ac:dyDescent="0.3">
      <c r="A230" s="25"/>
      <c r="B230" s="5" t="str" cm="1">
        <f t="array" ref="B230">_xlfn.IFS($A230="","",$A230=0,0,TRUE,($A230/50)*DisplayMarker)</f>
        <v/>
      </c>
      <c r="C230" s="5"/>
      <c r="D230" s="10"/>
      <c r="E230" s="16" t="s">
        <v>40</v>
      </c>
      <c r="F230" s="17"/>
    </row>
    <row r="231" spans="1:6" x14ac:dyDescent="0.3">
      <c r="A231" s="25"/>
      <c r="B231" s="5" t="str" cm="1">
        <f t="array" ref="B231">_xlfn.IFS($A231="","",$A231=0,0,TRUE,($A231/50)*DisplayMarker)</f>
        <v/>
      </c>
      <c r="C231" s="5"/>
      <c r="D231" s="11"/>
      <c r="E231" s="10"/>
      <c r="F231" s="13" t="s">
        <v>51</v>
      </c>
    </row>
    <row r="232" spans="1:6" x14ac:dyDescent="0.3">
      <c r="A232" s="25"/>
      <c r="B232" s="5" t="str" cm="1">
        <f t="array" ref="B232">_xlfn.IFS($A232="","",$A232=0,0,TRUE,($A232/50)*DisplayMarker)</f>
        <v/>
      </c>
      <c r="C232" s="5"/>
      <c r="D232" s="11"/>
      <c r="E232" s="10"/>
      <c r="F232" s="13" t="s">
        <v>188</v>
      </c>
    </row>
    <row r="233" spans="1:6" x14ac:dyDescent="0.3">
      <c r="A233" s="28"/>
      <c r="B233" s="29" t="str" cm="1">
        <f t="array" ref="B233">_xlfn.IFS($A233="","",$A233=0,0,TRUE,($A233/50)*DisplayMarker)</f>
        <v/>
      </c>
      <c r="C233" s="29"/>
      <c r="D233" s="30"/>
      <c r="E233" s="31" t="s">
        <v>192</v>
      </c>
      <c r="F233" s="32"/>
    </row>
    <row r="234" spans="1:6" x14ac:dyDescent="0.3">
      <c r="A234" s="25"/>
      <c r="B234" s="5" t="str" cm="1">
        <f t="array" ref="B234">_xlfn.IFS($A234="","",$A234=0,0,TRUE,($A234/50)*DisplayMarker)</f>
        <v/>
      </c>
      <c r="C234" s="27"/>
      <c r="D234" s="16" t="s">
        <v>193</v>
      </c>
      <c r="E234" s="16"/>
      <c r="F234" s="17"/>
    </row>
    <row r="235" spans="1:6" x14ac:dyDescent="0.3">
      <c r="A235" s="25"/>
      <c r="B235" s="5" t="str" cm="1">
        <f t="array" ref="B235">_xlfn.IFS($A235="","",$A235=0,0,TRUE,($A235/50)*DisplayMarker)</f>
        <v/>
      </c>
      <c r="C235" s="5"/>
      <c r="D235" s="10"/>
      <c r="E235" s="16" t="s">
        <v>40</v>
      </c>
      <c r="F235" s="17"/>
    </row>
    <row r="236" spans="1:6" x14ac:dyDescent="0.3">
      <c r="A236" s="25"/>
      <c r="B236" s="5" t="str" cm="1">
        <f t="array" ref="B236">_xlfn.IFS($A236="","",$A236=0,0,TRUE,($A236/50)*DisplayMarker)</f>
        <v/>
      </c>
      <c r="C236" s="5"/>
      <c r="D236" s="11"/>
      <c r="E236" s="10"/>
      <c r="F236" s="13" t="s">
        <v>194</v>
      </c>
    </row>
    <row r="237" spans="1:6" x14ac:dyDescent="0.3">
      <c r="A237" s="25"/>
      <c r="B237" s="5" t="str" cm="1">
        <f t="array" ref="B237">_xlfn.IFS($A237="","",$A237=0,0,TRUE,($A237/50)*DisplayMarker)</f>
        <v/>
      </c>
      <c r="C237" s="5"/>
      <c r="D237" s="11"/>
      <c r="E237" s="10"/>
      <c r="F237" s="13" t="s">
        <v>195</v>
      </c>
    </row>
    <row r="238" spans="1:6" x14ac:dyDescent="0.3">
      <c r="A238" s="25"/>
      <c r="B238" s="5" t="str" cm="1">
        <f t="array" ref="B238">_xlfn.IFS($A238="","",$A238=0,0,TRUE,($A238/50)*DisplayMarker)</f>
        <v/>
      </c>
      <c r="C238" s="5"/>
      <c r="D238" s="11"/>
      <c r="E238" s="10"/>
      <c r="F238" s="13" t="s">
        <v>196</v>
      </c>
    </row>
    <row r="239" spans="1:6" x14ac:dyDescent="0.3">
      <c r="A239" s="25"/>
      <c r="B239" s="5" t="str" cm="1">
        <f t="array" ref="B239">_xlfn.IFS($A239="","",$A239=0,0,TRUE,($A239/50)*DisplayMarker)</f>
        <v/>
      </c>
      <c r="C239" s="5"/>
      <c r="D239" s="11"/>
      <c r="E239" s="10"/>
      <c r="F239" s="13" t="s">
        <v>197</v>
      </c>
    </row>
    <row r="240" spans="1:6" x14ac:dyDescent="0.3">
      <c r="A240" s="25"/>
      <c r="B240" s="5" t="str" cm="1">
        <f t="array" ref="B240">_xlfn.IFS($A240="","",$A240=0,0,TRUE,($A240/50)*DisplayMarker)</f>
        <v/>
      </c>
      <c r="C240" s="5"/>
      <c r="D240" s="11"/>
      <c r="E240" s="10"/>
      <c r="F240" s="13" t="s">
        <v>198</v>
      </c>
    </row>
    <row r="241" spans="1:6" x14ac:dyDescent="0.3">
      <c r="A241" s="25"/>
      <c r="B241" s="5" t="str" cm="1">
        <f t="array" ref="B241">_xlfn.IFS($A241="","",$A241=0,0,TRUE,($A241/50)*DisplayMarker)</f>
        <v/>
      </c>
      <c r="C241" s="5"/>
      <c r="D241" s="11"/>
      <c r="E241" s="10"/>
      <c r="F241" s="13" t="s">
        <v>199</v>
      </c>
    </row>
    <row r="242" spans="1:6" x14ac:dyDescent="0.3">
      <c r="A242" s="25"/>
      <c r="B242" s="5" t="str" cm="1">
        <f t="array" ref="B242">_xlfn.IFS($A242="","",$A242=0,0,TRUE,($A242/50)*DisplayMarker)</f>
        <v/>
      </c>
      <c r="C242" s="5"/>
      <c r="D242" s="11"/>
      <c r="E242" s="10"/>
      <c r="F242" s="13" t="s">
        <v>200</v>
      </c>
    </row>
    <row r="243" spans="1:6" x14ac:dyDescent="0.3">
      <c r="A243" s="25"/>
      <c r="B243" s="5" t="str" cm="1">
        <f t="array" ref="B243">_xlfn.IFS($A243="","",$A243=0,0,TRUE,($A243/50)*DisplayMarker)</f>
        <v/>
      </c>
      <c r="C243" s="5"/>
      <c r="D243" s="11"/>
      <c r="E243" s="10"/>
      <c r="F243" s="13" t="s">
        <v>201</v>
      </c>
    </row>
    <row r="244" spans="1:6" x14ac:dyDescent="0.3">
      <c r="A244" s="28"/>
      <c r="B244" s="29" t="str" cm="1">
        <f t="array" ref="B244">_xlfn.IFS($A244="","",$A244=0,0,TRUE,($A244/50)*DisplayMarker)</f>
        <v/>
      </c>
      <c r="C244" s="29"/>
      <c r="D244" s="30"/>
      <c r="E244" s="31" t="s">
        <v>202</v>
      </c>
      <c r="F244" s="32"/>
    </row>
    <row r="245" spans="1:6" x14ac:dyDescent="0.3">
      <c r="A245" s="25"/>
      <c r="B245" s="5" t="str" cm="1">
        <f t="array" ref="B245">_xlfn.IFS($A245="","",$A245=0,0,TRUE,($A245/50)*DisplayMarker)</f>
        <v/>
      </c>
      <c r="C245" s="27"/>
      <c r="D245" s="16" t="s">
        <v>203</v>
      </c>
      <c r="E245" s="16"/>
      <c r="F245" s="17"/>
    </row>
    <row r="246" spans="1:6" x14ac:dyDescent="0.3">
      <c r="A246" s="28"/>
      <c r="B246" s="29" t="str" cm="1">
        <f t="array" ref="B246">_xlfn.IFS($A246="","",$A246=0,0,TRUE,($A246/50)*DisplayMarker)</f>
        <v/>
      </c>
      <c r="C246" s="29"/>
      <c r="D246" s="30"/>
      <c r="E246" s="31" t="s">
        <v>204</v>
      </c>
      <c r="F246" s="32"/>
    </row>
    <row r="247" spans="1:6" x14ac:dyDescent="0.3">
      <c r="A247" s="25"/>
      <c r="B247" s="5" t="str" cm="1">
        <f t="array" ref="B247">_xlfn.IFS($A247="","",$A247=0,0,TRUE,($A247/50)*DisplayMarker)</f>
        <v/>
      </c>
      <c r="C247" s="27"/>
      <c r="D247" s="16" t="s">
        <v>205</v>
      </c>
      <c r="E247" s="16"/>
      <c r="F247" s="17"/>
    </row>
    <row r="248" spans="1:6" ht="15" thickBot="1" x14ac:dyDescent="0.35">
      <c r="A248" s="26"/>
      <c r="B248" s="21" t="str" cm="1">
        <f t="array" ref="B248">_xlfn.IFS($A248="","",$A248=0,0,TRUE,($A248/50)*DisplayMarker)</f>
        <v/>
      </c>
      <c r="C248" s="21"/>
      <c r="D248" s="34"/>
      <c r="E248" s="22" t="s">
        <v>204</v>
      </c>
      <c r="F248" s="23"/>
    </row>
    <row r="249" spans="1:6" ht="15" thickTop="1" x14ac:dyDescent="0.3">
      <c r="A249" s="5"/>
      <c r="B249" s="5" t="str">
        <f>IF(OR($A249=0,$A249=""),"",($A249/50)*DisplayMarker)</f>
        <v/>
      </c>
      <c r="C249" s="5"/>
      <c r="D249" s="5"/>
      <c r="E249" s="6"/>
      <c r="F249" s="6"/>
    </row>
    <row r="250" spans="1:6" x14ac:dyDescent="0.3">
      <c r="A250" s="5"/>
      <c r="B250" s="5" t="str">
        <f>IF(OR($A250=0,$A250=""),"",($A250/50)*DisplayMarker)</f>
        <v/>
      </c>
      <c r="C250" s="5"/>
      <c r="D250" s="5"/>
      <c r="E250" s="6"/>
      <c r="F250" s="6"/>
    </row>
    <row r="251" spans="1:6" x14ac:dyDescent="0.3">
      <c r="A251" s="5"/>
      <c r="B251" s="5" t="str">
        <f>IF(OR($A251=0,$A251=""),"",($A251/50)*DisplayMarker)</f>
        <v/>
      </c>
      <c r="C251" s="5"/>
      <c r="D251" s="5"/>
      <c r="E251" s="6"/>
      <c r="F251" s="6"/>
    </row>
    <row r="252" spans="1:6" x14ac:dyDescent="0.3">
      <c r="A252" s="5"/>
      <c r="B252" s="5" t="str">
        <f>IF(OR($A252=0,$A252=""),"",($A252/50)*DisplayMarker)</f>
        <v/>
      </c>
      <c r="C252" s="5"/>
      <c r="D252" s="5"/>
      <c r="E252" s="6"/>
      <c r="F252" s="6"/>
    </row>
    <row r="253" spans="1:6" x14ac:dyDescent="0.3">
      <c r="A253" s="5"/>
      <c r="B253" s="5" t="str">
        <f>IF(OR($A253=0,$A253=""),"",($A253/50)*DisplayMarker)</f>
        <v/>
      </c>
      <c r="C253" s="5"/>
      <c r="D253" s="5"/>
      <c r="E253" s="6"/>
      <c r="F253" s="6"/>
    </row>
    <row r="254" spans="1:6" x14ac:dyDescent="0.3">
      <c r="A254" s="5"/>
      <c r="B254" s="5" t="str">
        <f>IF(OR($A254=0,$A254=""),"",($A254/50)*DisplayMarker)</f>
        <v/>
      </c>
      <c r="C254" s="5"/>
      <c r="D254" s="5"/>
      <c r="E254" s="6"/>
      <c r="F254" s="6"/>
    </row>
    <row r="255" spans="1:6" x14ac:dyDescent="0.3">
      <c r="A255" s="5"/>
      <c r="B255" s="5" t="str">
        <f>IF(OR($A255=0,$A255=""),"",($A255/50)*DisplayMarker)</f>
        <v/>
      </c>
      <c r="C255" s="5"/>
      <c r="D255" s="5"/>
      <c r="E255" s="6"/>
      <c r="F255" s="6"/>
    </row>
    <row r="256" spans="1:6" x14ac:dyDescent="0.3">
      <c r="A256" s="5"/>
      <c r="B256" s="5" t="str">
        <f>IF(OR($A256=0,$A256=""),"",($A256/50)*DisplayMarker)</f>
        <v/>
      </c>
      <c r="C256" s="5"/>
      <c r="D256" s="5"/>
      <c r="E256" s="6"/>
      <c r="F256" s="6"/>
    </row>
    <row r="257" spans="1:6" x14ac:dyDescent="0.3">
      <c r="A257" s="5"/>
      <c r="B257" s="5" t="str">
        <f>IF(OR($A257=0,$A257=""),"",($A257/50)*DisplayMarker)</f>
        <v/>
      </c>
      <c r="C257" s="5"/>
      <c r="D257" s="5"/>
      <c r="E257" s="6"/>
      <c r="F257" s="6"/>
    </row>
    <row r="258" spans="1:6" x14ac:dyDescent="0.3">
      <c r="A258" s="5"/>
      <c r="B258" s="5" t="str">
        <f>IF(OR($A258=0,$A258=""),"",($A258/50)*DisplayMarker)</f>
        <v/>
      </c>
      <c r="C258" s="5"/>
      <c r="D258" s="5"/>
      <c r="E258" s="6"/>
      <c r="F258" s="6"/>
    </row>
    <row r="259" spans="1:6" x14ac:dyDescent="0.3">
      <c r="A259" s="5"/>
      <c r="B259" s="5" t="str">
        <f>IF(OR($A259=0,$A259=""),"",($A259/50)*DisplayMarker)</f>
        <v/>
      </c>
      <c r="C259" s="5"/>
      <c r="D259" s="5"/>
      <c r="E259" s="6"/>
      <c r="F259" s="6"/>
    </row>
    <row r="260" spans="1:6" x14ac:dyDescent="0.3">
      <c r="A260" s="5"/>
      <c r="B260" s="5" t="str">
        <f>IF(OR($A260=0,$A260=""),"",($A260/50)*DisplayMarker)</f>
        <v/>
      </c>
      <c r="C260" s="5"/>
      <c r="D260" s="5"/>
      <c r="E260" s="6"/>
      <c r="F260" s="6"/>
    </row>
    <row r="261" spans="1:6" x14ac:dyDescent="0.3">
      <c r="A261" s="5"/>
      <c r="B261" s="5" t="str">
        <f>IF(OR($A261=0,$A261=""),"",($A261/50)*DisplayMarker)</f>
        <v/>
      </c>
      <c r="C261" s="5"/>
      <c r="D261" s="5"/>
      <c r="E261" s="6"/>
      <c r="F261" s="6"/>
    </row>
    <row r="262" spans="1:6" x14ac:dyDescent="0.3">
      <c r="A262" s="5"/>
      <c r="B262" s="5" t="str">
        <f>IF(OR($A262=0,$A262=""),"",($A262/50)*DisplayMarker)</f>
        <v/>
      </c>
      <c r="C262" s="5"/>
      <c r="D262" s="5"/>
      <c r="E262" s="6"/>
      <c r="F262" s="6"/>
    </row>
    <row r="263" spans="1:6" x14ac:dyDescent="0.3">
      <c r="A263" s="5"/>
      <c r="B263" s="5" t="str">
        <f>IF(OR($A263=0,$A263=""),"",($A263/50)*DisplayMarker)</f>
        <v/>
      </c>
      <c r="C263" s="5"/>
      <c r="D263" s="5"/>
      <c r="E263" s="6"/>
      <c r="F263" s="6"/>
    </row>
    <row r="264" spans="1:6" x14ac:dyDescent="0.3">
      <c r="A264" s="5"/>
      <c r="B264" s="5" t="str">
        <f>IF(OR($A264=0,$A264=""),"",($A264/50)*DisplayMarker)</f>
        <v/>
      </c>
      <c r="C264" s="5"/>
      <c r="D264" s="5"/>
      <c r="E264" s="6"/>
      <c r="F264" s="6"/>
    </row>
    <row r="265" spans="1:6" x14ac:dyDescent="0.3">
      <c r="A265" s="5"/>
      <c r="B265" s="5" t="str">
        <f>IF(OR($A265=0,$A265=""),"",($A265/50)*DisplayMarker)</f>
        <v/>
      </c>
      <c r="C265" s="5"/>
      <c r="D265" s="5"/>
      <c r="E265" s="6"/>
      <c r="F265" s="6"/>
    </row>
    <row r="266" spans="1:6" x14ac:dyDescent="0.3">
      <c r="A266" s="5"/>
      <c r="B266" s="5" t="str">
        <f>IF(OR($A266=0,$A266=""),"",($A266/50)*DisplayMarker)</f>
        <v/>
      </c>
      <c r="C266" s="5"/>
      <c r="D266" s="5"/>
      <c r="E266" s="6"/>
      <c r="F266" s="6"/>
    </row>
    <row r="267" spans="1:6" x14ac:dyDescent="0.3">
      <c r="A267" s="5"/>
      <c r="B267" s="5" t="str">
        <f>IF(OR($A267=0,$A267=""),"",($A267/50)*DisplayMarker)</f>
        <v/>
      </c>
      <c r="C267" s="5"/>
      <c r="D267" s="5"/>
      <c r="E267" s="6"/>
      <c r="F267" s="6"/>
    </row>
    <row r="268" spans="1:6" x14ac:dyDescent="0.3">
      <c r="A268" s="5"/>
      <c r="B268" s="5" t="str">
        <f>IF(OR($A268=0,$A268=""),"",($A268/50)*DisplayMarker)</f>
        <v/>
      </c>
      <c r="C268" s="5"/>
      <c r="D268" s="5"/>
      <c r="E268" s="6"/>
      <c r="F268" s="6"/>
    </row>
    <row r="269" spans="1:6" x14ac:dyDescent="0.3">
      <c r="A269" s="5"/>
      <c r="B269" s="5" t="str">
        <f>IF(OR($A269=0,$A269=""),"",($A269/50)*DisplayMarker)</f>
        <v/>
      </c>
      <c r="C269" s="5"/>
      <c r="D269" s="5"/>
      <c r="E269" s="6"/>
      <c r="F269" s="6"/>
    </row>
    <row r="270" spans="1:6" x14ac:dyDescent="0.3">
      <c r="A270" s="5"/>
      <c r="B270" s="5" t="str">
        <f>IF(OR($A270=0,$A270=""),"",($A270/50)*DisplayMarker)</f>
        <v/>
      </c>
      <c r="C270" s="5"/>
      <c r="D270" s="5"/>
      <c r="E270" s="6"/>
      <c r="F270" s="6"/>
    </row>
    <row r="271" spans="1:6" x14ac:dyDescent="0.3">
      <c r="A271" s="5"/>
      <c r="B271" s="5" t="str">
        <f>IF(OR($A271=0,$A271=""),"",($A271/50)*DisplayMarker)</f>
        <v/>
      </c>
      <c r="C271" s="5"/>
      <c r="D271" s="5"/>
      <c r="E271" s="6"/>
      <c r="F271" s="6"/>
    </row>
    <row r="272" spans="1:6" x14ac:dyDescent="0.3">
      <c r="A272" s="5"/>
      <c r="B272" s="5" t="str">
        <f>IF(OR($A272=0,$A272=""),"",($A272/50)*DisplayMarker)</f>
        <v/>
      </c>
      <c r="C272" s="5"/>
      <c r="D272" s="5"/>
      <c r="E272" s="6"/>
      <c r="F272" s="6"/>
    </row>
    <row r="273" spans="1:6" x14ac:dyDescent="0.3">
      <c r="A273" s="5"/>
      <c r="B273" s="5" t="str">
        <f>IF(OR($A273=0,$A273=""),"",($A273/50)*DisplayMarker)</f>
        <v/>
      </c>
      <c r="C273" s="5"/>
      <c r="D273" s="5"/>
      <c r="E273" s="6"/>
      <c r="F273" s="6"/>
    </row>
    <row r="274" spans="1:6" x14ac:dyDescent="0.3">
      <c r="A274" s="5"/>
      <c r="B274" s="5" t="str">
        <f>IF(OR($A274=0,$A274=""),"",($A274/50)*DisplayMarker)</f>
        <v/>
      </c>
      <c r="C274" s="5"/>
      <c r="D274" s="5"/>
      <c r="E274" s="6"/>
      <c r="F274" s="6"/>
    </row>
    <row r="275" spans="1:6" x14ac:dyDescent="0.3">
      <c r="A275" s="5"/>
      <c r="B275" s="5" t="str">
        <f>IF(OR($A275=0,$A275=""),"",($A275/50)*DisplayMarker)</f>
        <v/>
      </c>
      <c r="C275" s="5"/>
      <c r="D275" s="5"/>
      <c r="E275" s="6"/>
      <c r="F275" s="6"/>
    </row>
    <row r="276" spans="1:6" x14ac:dyDescent="0.3">
      <c r="A276" s="5"/>
      <c r="B276" s="5" t="str">
        <f>IF(OR($A276=0,$A276=""),"",($A276/50)*DisplayMarker)</f>
        <v/>
      </c>
      <c r="C276" s="5"/>
      <c r="D276" s="5"/>
      <c r="E276" s="6"/>
      <c r="F276" s="6"/>
    </row>
    <row r="277" spans="1:6" x14ac:dyDescent="0.3">
      <c r="A277" s="5"/>
      <c r="B277" s="5" t="str">
        <f>IF(OR($A277=0,$A277=""),"",($A277/50)*DisplayMarker)</f>
        <v/>
      </c>
      <c r="C277" s="5"/>
      <c r="D277" s="5"/>
      <c r="E277" s="6"/>
      <c r="F277" s="6"/>
    </row>
    <row r="278" spans="1:6" x14ac:dyDescent="0.3">
      <c r="A278" s="5"/>
      <c r="B278" s="5" t="str">
        <f>IF(OR($A278=0,$A278=""),"",($A278/50)*DisplayMarker)</f>
        <v/>
      </c>
      <c r="C278" s="5"/>
      <c r="D278" s="5"/>
      <c r="E278" s="6"/>
      <c r="F278" s="6"/>
    </row>
    <row r="279" spans="1:6" x14ac:dyDescent="0.3">
      <c r="A279" s="5"/>
      <c r="B279" s="5" t="str">
        <f>IF(OR($A279=0,$A279=""),"",($A279/50)*DisplayMarker)</f>
        <v/>
      </c>
      <c r="C279" s="5"/>
      <c r="D279" s="5"/>
      <c r="E279" s="6"/>
      <c r="F279" s="6"/>
    </row>
    <row r="280" spans="1:6" x14ac:dyDescent="0.3">
      <c r="A280" s="5"/>
      <c r="B280" s="5" t="str">
        <f>IF(OR($A280=0,$A280=""),"",($A280/50)*DisplayMarker)</f>
        <v/>
      </c>
      <c r="C280" s="5"/>
      <c r="D280" s="5"/>
      <c r="E280" s="6"/>
      <c r="F280" s="6"/>
    </row>
    <row r="281" spans="1:6" x14ac:dyDescent="0.3">
      <c r="A281" s="5"/>
      <c r="B281" s="5" t="str">
        <f>IF(OR($A281=0,$A281=""),"",($A281/50)*DisplayMarker)</f>
        <v/>
      </c>
      <c r="C281" s="5"/>
      <c r="D281" s="5"/>
      <c r="E281" s="6"/>
      <c r="F281" s="6"/>
    </row>
    <row r="282" spans="1:6" x14ac:dyDescent="0.3">
      <c r="A282" s="5"/>
      <c r="B282" s="5" t="str">
        <f>IF(OR($A282=0,$A282=""),"",($A282/50)*DisplayMarker)</f>
        <v/>
      </c>
      <c r="C282" s="5"/>
      <c r="D282" s="5"/>
      <c r="E282" s="6"/>
      <c r="F282" s="6"/>
    </row>
    <row r="283" spans="1:6" x14ac:dyDescent="0.3">
      <c r="A283" s="5"/>
      <c r="B283" s="5" t="str">
        <f>IF(OR($A283=0,$A283=""),"",($A283/50)*DisplayMarker)</f>
        <v/>
      </c>
      <c r="C283" s="5"/>
      <c r="D283" s="5"/>
      <c r="E283" s="6"/>
      <c r="F283" s="6"/>
    </row>
    <row r="284" spans="1:6" x14ac:dyDescent="0.3">
      <c r="A284" s="5"/>
      <c r="B284" s="5" t="str">
        <f>IF(OR($A284=0,$A284=""),"",($A284/50)*DisplayMarker)</f>
        <v/>
      </c>
      <c r="C284" s="5"/>
      <c r="D284" s="5"/>
      <c r="E284" s="6"/>
      <c r="F284" s="6"/>
    </row>
    <row r="285" spans="1:6" x14ac:dyDescent="0.3">
      <c r="A285" s="5"/>
      <c r="B285" s="5" t="str">
        <f>IF(OR($A285=0,$A285=""),"",($A285/50)*DisplayMarker)</f>
        <v/>
      </c>
      <c r="C285" s="5"/>
      <c r="D285" s="5"/>
      <c r="E285" s="6"/>
      <c r="F285" s="6"/>
    </row>
    <row r="286" spans="1:6" x14ac:dyDescent="0.3">
      <c r="A286" s="5"/>
      <c r="B286" s="5" t="str">
        <f>IF(OR($A286=0,$A286=""),"",($A286/50)*DisplayMarker)</f>
        <v/>
      </c>
      <c r="C286" s="5"/>
      <c r="D286" s="5"/>
      <c r="E286" s="6"/>
      <c r="F286" s="6"/>
    </row>
    <row r="287" spans="1:6" x14ac:dyDescent="0.3">
      <c r="A287" s="5"/>
      <c r="B287" s="5"/>
      <c r="C287" s="5"/>
      <c r="D287" s="5"/>
      <c r="E287" s="6"/>
      <c r="F287" s="6"/>
    </row>
    <row r="288" spans="1:6" x14ac:dyDescent="0.3">
      <c r="A288" s="5"/>
      <c r="B288" s="5"/>
      <c r="C288" s="5"/>
      <c r="D288" s="5"/>
      <c r="E288" s="6"/>
      <c r="F288" s="6"/>
    </row>
    <row r="289" spans="1:6" x14ac:dyDescent="0.3">
      <c r="A289" s="5"/>
      <c r="B289" s="5"/>
      <c r="C289" s="5"/>
      <c r="D289" s="5"/>
      <c r="E289" s="6"/>
      <c r="F289" s="6"/>
    </row>
    <row r="290" spans="1:6" x14ac:dyDescent="0.3">
      <c r="A290" s="5"/>
      <c r="B290" s="5"/>
      <c r="C290" s="5"/>
      <c r="D290" s="5"/>
      <c r="E290" s="6"/>
      <c r="F290" s="6"/>
    </row>
    <row r="291" spans="1:6" x14ac:dyDescent="0.3">
      <c r="A291" s="5"/>
      <c r="B291" s="5"/>
      <c r="C291" s="5"/>
      <c r="D291" s="5"/>
      <c r="E291" s="6"/>
      <c r="F291" s="6"/>
    </row>
    <row r="292" spans="1:6" x14ac:dyDescent="0.3">
      <c r="A292" s="5"/>
      <c r="B292" s="5"/>
      <c r="C292" s="5"/>
      <c r="D292" s="5"/>
      <c r="E292" s="6"/>
      <c r="F292" s="6"/>
    </row>
    <row r="293" spans="1:6" x14ac:dyDescent="0.3">
      <c r="A293" s="5"/>
      <c r="B293" s="5"/>
      <c r="C293" s="5"/>
      <c r="D293" s="5"/>
      <c r="E293" s="6"/>
      <c r="F293" s="6"/>
    </row>
    <row r="294" spans="1:6" x14ac:dyDescent="0.3">
      <c r="A294" s="5"/>
      <c r="B294" s="5"/>
      <c r="C294" s="5"/>
      <c r="D294" s="5"/>
      <c r="E294" s="6"/>
      <c r="F294" s="6"/>
    </row>
    <row r="295" spans="1:6" x14ac:dyDescent="0.3">
      <c r="A295" s="5"/>
      <c r="B295" s="5"/>
      <c r="C295" s="5"/>
      <c r="D295" s="5"/>
      <c r="E295" s="6"/>
      <c r="F295" s="6"/>
    </row>
    <row r="296" spans="1:6" x14ac:dyDescent="0.3">
      <c r="A296" s="5"/>
      <c r="B296" s="5"/>
      <c r="C296" s="5"/>
      <c r="D296" s="5"/>
      <c r="E296" s="6"/>
      <c r="F296" s="6"/>
    </row>
    <row r="297" spans="1:6" x14ac:dyDescent="0.3">
      <c r="A297" s="5"/>
      <c r="B297" s="5"/>
      <c r="C297" s="5"/>
      <c r="D297" s="5"/>
      <c r="E297" s="6"/>
      <c r="F297" s="6"/>
    </row>
    <row r="298" spans="1:6" x14ac:dyDescent="0.3">
      <c r="A298" s="5"/>
      <c r="B298" s="5"/>
      <c r="C298" s="5"/>
      <c r="D298" s="5"/>
      <c r="E298" s="6"/>
      <c r="F298" s="6"/>
    </row>
    <row r="299" spans="1:6" x14ac:dyDescent="0.3">
      <c r="A299" s="5"/>
      <c r="B299" s="5"/>
      <c r="C299" s="5"/>
      <c r="D299" s="5"/>
      <c r="E299" s="6"/>
      <c r="F299" s="6"/>
    </row>
    <row r="300" spans="1:6" x14ac:dyDescent="0.3">
      <c r="A300" s="5"/>
      <c r="B300" s="5"/>
      <c r="C300" s="5"/>
      <c r="D300" s="5"/>
      <c r="E300" s="6"/>
      <c r="F300" s="6"/>
    </row>
  </sheetData>
  <mergeCells count="179">
    <mergeCell ref="E235:F235"/>
    <mergeCell ref="E244:F244"/>
    <mergeCell ref="D245:F245"/>
    <mergeCell ref="E246:F246"/>
    <mergeCell ref="D247:F247"/>
    <mergeCell ref="E248:F248"/>
    <mergeCell ref="D210:F210"/>
    <mergeCell ref="E211:F211"/>
    <mergeCell ref="D229:F229"/>
    <mergeCell ref="E230:F230"/>
    <mergeCell ref="E233:F233"/>
    <mergeCell ref="D234:F234"/>
    <mergeCell ref="D196:F196"/>
    <mergeCell ref="E197:F197"/>
    <mergeCell ref="E206:F206"/>
    <mergeCell ref="E207:F207"/>
    <mergeCell ref="D208:F208"/>
    <mergeCell ref="E209:F209"/>
    <mergeCell ref="D187:F187"/>
    <mergeCell ref="E188:F188"/>
    <mergeCell ref="E192:F192"/>
    <mergeCell ref="D193:F193"/>
    <mergeCell ref="E194:F194"/>
    <mergeCell ref="E195:F195"/>
    <mergeCell ref="E213:F213"/>
    <mergeCell ref="E223:F223"/>
    <mergeCell ref="D224:F224"/>
    <mergeCell ref="E225:F225"/>
    <mergeCell ref="E226:F226"/>
    <mergeCell ref="D186:F186"/>
    <mergeCell ref="E178:F178"/>
    <mergeCell ref="E182:F182"/>
    <mergeCell ref="D183:F183"/>
    <mergeCell ref="E184:F184"/>
    <mergeCell ref="D185:F185"/>
    <mergeCell ref="D212:F212"/>
    <mergeCell ref="E170:F170"/>
    <mergeCell ref="E173:F173"/>
    <mergeCell ref="D174:F174"/>
    <mergeCell ref="E175:F175"/>
    <mergeCell ref="D176:F176"/>
    <mergeCell ref="D177:F177"/>
    <mergeCell ref="D162:F162"/>
    <mergeCell ref="D163:F163"/>
    <mergeCell ref="E164:F164"/>
    <mergeCell ref="E167:F167"/>
    <mergeCell ref="E168:F168"/>
    <mergeCell ref="D169:F169"/>
    <mergeCell ref="E153:F153"/>
    <mergeCell ref="E157:F157"/>
    <mergeCell ref="D158:F158"/>
    <mergeCell ref="D159:F159"/>
    <mergeCell ref="E160:F160"/>
    <mergeCell ref="E161:F161"/>
    <mergeCell ref="E145:F145"/>
    <mergeCell ref="E148:F148"/>
    <mergeCell ref="D149:F149"/>
    <mergeCell ref="E150:F150"/>
    <mergeCell ref="E151:F151"/>
    <mergeCell ref="D152:F152"/>
    <mergeCell ref="E139:F139"/>
    <mergeCell ref="D140:F140"/>
    <mergeCell ref="D141:F141"/>
    <mergeCell ref="E142:F142"/>
    <mergeCell ref="D143:F143"/>
    <mergeCell ref="D144:F144"/>
    <mergeCell ref="E133:F133"/>
    <mergeCell ref="D134:F134"/>
    <mergeCell ref="E135:F135"/>
    <mergeCell ref="D136:F136"/>
    <mergeCell ref="D137:F137"/>
    <mergeCell ref="D138:F138"/>
    <mergeCell ref="E127:F127"/>
    <mergeCell ref="D128:F128"/>
    <mergeCell ref="E129:F129"/>
    <mergeCell ref="E130:F130"/>
    <mergeCell ref="D131:F131"/>
    <mergeCell ref="E132:F132"/>
    <mergeCell ref="E117:F117"/>
    <mergeCell ref="D118:F118"/>
    <mergeCell ref="E119:F119"/>
    <mergeCell ref="E122:F122"/>
    <mergeCell ref="D123:F123"/>
    <mergeCell ref="E124:F124"/>
    <mergeCell ref="D109:F109"/>
    <mergeCell ref="E110:F110"/>
    <mergeCell ref="E111:F111"/>
    <mergeCell ref="E112:F112"/>
    <mergeCell ref="D113:F113"/>
    <mergeCell ref="E114:F114"/>
    <mergeCell ref="D103:F103"/>
    <mergeCell ref="D104:F104"/>
    <mergeCell ref="E105:F105"/>
    <mergeCell ref="D106:F106"/>
    <mergeCell ref="E107:F107"/>
    <mergeCell ref="E108:F108"/>
    <mergeCell ref="D97:F97"/>
    <mergeCell ref="E98:F98"/>
    <mergeCell ref="D99:F99"/>
    <mergeCell ref="D100:F100"/>
    <mergeCell ref="E101:F101"/>
    <mergeCell ref="D102:F102"/>
    <mergeCell ref="E84:F84"/>
    <mergeCell ref="D90:F90"/>
    <mergeCell ref="E91:F91"/>
    <mergeCell ref="D94:F94"/>
    <mergeCell ref="E95:F95"/>
    <mergeCell ref="D96:F96"/>
    <mergeCell ref="D78:F78"/>
    <mergeCell ref="E79:F79"/>
    <mergeCell ref="D80:F80"/>
    <mergeCell ref="E81:F81"/>
    <mergeCell ref="E82:F82"/>
    <mergeCell ref="D83:F83"/>
    <mergeCell ref="E72:F72"/>
    <mergeCell ref="E73:F73"/>
    <mergeCell ref="D74:F74"/>
    <mergeCell ref="D75:F75"/>
    <mergeCell ref="D76:F76"/>
    <mergeCell ref="D77:F77"/>
    <mergeCell ref="D66:F66"/>
    <mergeCell ref="E67:F67"/>
    <mergeCell ref="D68:F68"/>
    <mergeCell ref="E69:F69"/>
    <mergeCell ref="E70:F70"/>
    <mergeCell ref="D71:F71"/>
    <mergeCell ref="D60:F60"/>
    <mergeCell ref="E61:F61"/>
    <mergeCell ref="D62:F62"/>
    <mergeCell ref="E63:F63"/>
    <mergeCell ref="D64:F64"/>
    <mergeCell ref="E65:F65"/>
    <mergeCell ref="E54:F54"/>
    <mergeCell ref="E55:F55"/>
    <mergeCell ref="D56:F56"/>
    <mergeCell ref="E57:F57"/>
    <mergeCell ref="D58:F58"/>
    <mergeCell ref="E59:F59"/>
    <mergeCell ref="E48:F48"/>
    <mergeCell ref="D49:F49"/>
    <mergeCell ref="E50:F50"/>
    <mergeCell ref="D51:F51"/>
    <mergeCell ref="E52:F52"/>
    <mergeCell ref="D53:F53"/>
    <mergeCell ref="E36:F36"/>
    <mergeCell ref="E37:F37"/>
    <mergeCell ref="D38:F38"/>
    <mergeCell ref="E39:F39"/>
    <mergeCell ref="E40:F40"/>
    <mergeCell ref="D41:F41"/>
    <mergeCell ref="D30:F30"/>
    <mergeCell ref="E31:F31"/>
    <mergeCell ref="E32:F32"/>
    <mergeCell ref="E33:F33"/>
    <mergeCell ref="D34:F34"/>
    <mergeCell ref="E35:F35"/>
    <mergeCell ref="E24:F24"/>
    <mergeCell ref="E25:F25"/>
    <mergeCell ref="D26:F26"/>
    <mergeCell ref="E27:F27"/>
    <mergeCell ref="D28:F28"/>
    <mergeCell ref="E29:F29"/>
    <mergeCell ref="D17:F17"/>
    <mergeCell ref="E18:F18"/>
    <mergeCell ref="D19:F19"/>
    <mergeCell ref="E21:F21"/>
    <mergeCell ref="D22:F22"/>
    <mergeCell ref="E23:F23"/>
    <mergeCell ref="D11:F11"/>
    <mergeCell ref="E12:F12"/>
    <mergeCell ref="D13:F13"/>
    <mergeCell ref="E14:F14"/>
    <mergeCell ref="D15:F15"/>
    <mergeCell ref="E16:F16"/>
    <mergeCell ref="D3:F3"/>
    <mergeCell ref="D4:F4"/>
    <mergeCell ref="E5:F5"/>
    <mergeCell ref="D9:F9"/>
    <mergeCell ref="E10:F10"/>
  </mergeCells>
  <conditionalFormatting sqref="C1:E1048576">
    <cfRule type="expression" dxfId="3" priority="3">
      <formula>IF(C1="Comp",TRUE,FALSE)</formula>
    </cfRule>
    <cfRule type="expression" dxfId="2" priority="4">
      <formula>IF(C1="Start",TRUE,FALSE)</formula>
    </cfRule>
  </conditionalFormatting>
  <conditionalFormatting sqref="A4:A2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2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B1" xr:uid="{538237C1-06D7-4B59-A330-7F49217E5EFB}">
      <formula1>"50,100,150,200,250"</formula1>
    </dataValidation>
    <dataValidation type="list" allowBlank="1" showInputMessage="1" showErrorMessage="1" sqref="C4 C9 C11 C13 C15 C17 C19 C22 C26 C28 C30 C34 C38 C41 C49 C51 C53 C56 C58 C60 C62 C64 C66 C68 C71 C74:C78 C80 C83 C90 C94 C96:C97 C99:C100 C102:C104 C106 C109 C113 C118 C123 C128 C131 C134 C136:C138 C140:C141 C143:C144 C149 C152 C158:C159 C162:C163 C169 C174 C176:C177 C183 C185:C187 C193 C196 C208 C210 C212 C224 C229 C234 C245 C247 D5 E6:E8 D10 D12 D14 D16 D18 D20:D21 D23:D24 D27 D29 D31 D33 D35:D36 D39 D42 E43:E47 D48 D50 D52 D54:D55 D57 D59 D61 D63 D65 D67 D69 D72 D79 D81:D82 D84 E85:E87 D88 D91 E92:E93 D95 D98 D101 D105 D107:D108 D110:D111 D114 E115:E116 D117 D119 E120:E121 D122 D124 E125:E126 D127 D129:D130 D132:D133 D135 D139 D142 D145 E146:E147 D148 D150 D153 E154:E156 D157 D160 D164 E165:E166 D167 D170 D248 D175 D178 E179:E181 D182 D184 D188 E189:E191 D192 D194:D195 D197 E198:E205 D206 D209 D211 D213 E214:E222 D223 D225:D226 D230 E231:E232 D233 D235 E236:E243 D244 D246 E171:E172" xr:uid="{B0575171-963D-4E1A-8727-DA32FA697031}">
      <formula1>"Start,Comp"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LotD Events</vt:lpstr>
      <vt:lpstr>DisplayMarker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Locke</dc:creator>
  <cp:lastModifiedBy>Will Locke</cp:lastModifiedBy>
  <dcterms:created xsi:type="dcterms:W3CDTF">2026-02-01T23:30:39Z</dcterms:created>
  <dcterms:modified xsi:type="dcterms:W3CDTF">2026-02-02T04:38:03Z</dcterms:modified>
</cp:coreProperties>
</file>